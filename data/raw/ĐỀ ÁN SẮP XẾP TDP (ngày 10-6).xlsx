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D:\ĐỀ ÁN SÁT NHẬP TỔ DÂN PHỐ NĂM 2026\CÁC MẪU VĂN BẢN TRIỂN KHAI\"/>
    </mc:Choice>
  </mc:AlternateContent>
  <xr:revisionPtr revIDLastSave="0" documentId="13_ncr:1_{A0664A33-B4C5-43F5-9BA0-B8C7C517A442}" xr6:coauthVersionLast="47" xr6:coauthVersionMax="47" xr10:uidLastSave="{00000000-0000-0000-0000-000000000000}"/>
  <bookViews>
    <workbookView xWindow="-120" yWindow="-120" windowWidth="29040" windowHeight="15720" xr2:uid="{00000000-000D-0000-FFFF-FFFF00000000}"/>
  </bookViews>
  <sheets>
    <sheet name="PA TDP 2026" sheetId="7" r:id="rId1"/>
    <sheet name="Sheet1" sheetId="8" r:id="rId2"/>
    <sheet name="Sheet4" sheetId="11" r:id="rId3"/>
    <sheet name="Sheet3" sheetId="14" r:id="rId4"/>
  </sheets>
  <definedNames>
    <definedName name="_xlnm.Print_Titles" localSheetId="0">'PA TDP 2026'!$4:$5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1" i="7" l="1"/>
  <c r="D106" i="14"/>
  <c r="A106" i="14"/>
  <c r="E106" i="14" s="1"/>
  <c r="E106" i="11" l="1"/>
  <c r="E108" i="11"/>
  <c r="E104" i="11"/>
  <c r="E102" i="11"/>
  <c r="E98" i="11"/>
  <c r="E97" i="11"/>
  <c r="E92" i="11"/>
  <c r="E84" i="11"/>
  <c r="E79" i="11"/>
  <c r="E75" i="11"/>
  <c r="E68" i="11"/>
  <c r="E62" i="11"/>
  <c r="E56" i="11"/>
  <c r="E46" i="11"/>
  <c r="E40" i="11"/>
  <c r="E26" i="11"/>
  <c r="E13" i="11"/>
  <c r="E2" i="11"/>
  <c r="C109" i="11"/>
  <c r="E109" i="11" s="1"/>
  <c r="C99" i="11"/>
  <c r="E99" i="11" s="1"/>
  <c r="C96" i="11"/>
  <c r="E96" i="11" s="1"/>
  <c r="C94" i="11"/>
  <c r="E94" i="11" s="1"/>
  <c r="C91" i="11"/>
  <c r="C90" i="11"/>
  <c r="C89" i="11"/>
  <c r="C88" i="11"/>
  <c r="C61" i="11"/>
  <c r="E60" i="11" s="1"/>
  <c r="C38" i="11"/>
  <c r="C37" i="11"/>
  <c r="C36" i="11"/>
  <c r="C35" i="11"/>
  <c r="E33" i="11" s="1"/>
  <c r="C25" i="11"/>
  <c r="E18" i="11" s="1"/>
  <c r="C11" i="11"/>
  <c r="C10" i="11"/>
  <c r="A2" i="11"/>
  <c r="E136" i="8"/>
  <c r="E137" i="8" s="1"/>
  <c r="D136" i="8"/>
  <c r="D137" i="8" s="1"/>
  <c r="E135" i="8"/>
  <c r="D135" i="8"/>
  <c r="I134" i="8"/>
  <c r="I135" i="8" s="1"/>
  <c r="H134" i="8"/>
  <c r="H135" i="8" s="1"/>
  <c r="E133" i="8"/>
  <c r="D133" i="8"/>
  <c r="I132" i="8"/>
  <c r="H132" i="8"/>
  <c r="I131" i="8"/>
  <c r="H131" i="8"/>
  <c r="D130" i="8"/>
  <c r="I129" i="8"/>
  <c r="H129" i="8"/>
  <c r="H128" i="8"/>
  <c r="E128" i="8"/>
  <c r="I128" i="8" s="1"/>
  <c r="E127" i="8"/>
  <c r="D127" i="8"/>
  <c r="I126" i="8"/>
  <c r="H126" i="8"/>
  <c r="I125" i="8"/>
  <c r="H125" i="8"/>
  <c r="E124" i="8"/>
  <c r="I123" i="8"/>
  <c r="H123" i="8"/>
  <c r="I122" i="8"/>
  <c r="H122" i="8"/>
  <c r="I121" i="8"/>
  <c r="D121" i="8"/>
  <c r="D124" i="8" s="1"/>
  <c r="E120" i="8"/>
  <c r="D120" i="8"/>
  <c r="I119" i="8"/>
  <c r="H119" i="8"/>
  <c r="I117" i="8"/>
  <c r="H117" i="8"/>
  <c r="E115" i="8"/>
  <c r="I115" i="8" s="1"/>
  <c r="D115" i="8"/>
  <c r="H115" i="8" s="1"/>
  <c r="H116" i="8" s="1"/>
  <c r="I113" i="8"/>
  <c r="H113" i="8"/>
  <c r="E112" i="8"/>
  <c r="E114" i="8" s="1"/>
  <c r="D112" i="8"/>
  <c r="D114" i="8" s="1"/>
  <c r="E111" i="8"/>
  <c r="D111" i="8"/>
  <c r="I110" i="8"/>
  <c r="H110" i="8"/>
  <c r="I109" i="8"/>
  <c r="H109" i="8"/>
  <c r="E108" i="8"/>
  <c r="I108" i="8" s="1"/>
  <c r="I107" i="8"/>
  <c r="D107" i="8"/>
  <c r="H107" i="8" s="1"/>
  <c r="I106" i="8"/>
  <c r="D106" i="8"/>
  <c r="H106" i="8" s="1"/>
  <c r="I105" i="8"/>
  <c r="D105" i="8"/>
  <c r="H105" i="8" s="1"/>
  <c r="I104" i="8"/>
  <c r="D104" i="8"/>
  <c r="H104" i="8" s="1"/>
  <c r="E103" i="8"/>
  <c r="D103" i="8"/>
  <c r="I102" i="8"/>
  <c r="H102" i="8"/>
  <c r="I101" i="8"/>
  <c r="H101" i="8"/>
  <c r="I100" i="8"/>
  <c r="H100" i="8"/>
  <c r="I99" i="8"/>
  <c r="H99" i="8"/>
  <c r="E98" i="8"/>
  <c r="D98" i="8"/>
  <c r="I97" i="8"/>
  <c r="H97" i="8"/>
  <c r="I96" i="8"/>
  <c r="H96" i="8"/>
  <c r="I95" i="8"/>
  <c r="H95" i="8"/>
  <c r="I94" i="8"/>
  <c r="H94" i="8"/>
  <c r="I93" i="8"/>
  <c r="H93" i="8"/>
  <c r="E92" i="8"/>
  <c r="D92" i="8"/>
  <c r="I91" i="8"/>
  <c r="H91" i="8"/>
  <c r="I90" i="8"/>
  <c r="H90" i="8"/>
  <c r="I89" i="8"/>
  <c r="H89" i="8"/>
  <c r="I88" i="8"/>
  <c r="H88" i="8"/>
  <c r="E87" i="8"/>
  <c r="D87" i="8"/>
  <c r="I86" i="8"/>
  <c r="H86" i="8"/>
  <c r="I85" i="8"/>
  <c r="H85" i="8"/>
  <c r="I84" i="8"/>
  <c r="H84" i="8"/>
  <c r="I83" i="8"/>
  <c r="H83" i="8"/>
  <c r="I82" i="8"/>
  <c r="H82" i="8"/>
  <c r="I81" i="8"/>
  <c r="H81" i="8"/>
  <c r="I80" i="8"/>
  <c r="H80" i="8"/>
  <c r="E79" i="8"/>
  <c r="D79" i="8"/>
  <c r="I78" i="8"/>
  <c r="H78" i="8"/>
  <c r="I77" i="8"/>
  <c r="H77" i="8"/>
  <c r="I76" i="8"/>
  <c r="H76" i="8"/>
  <c r="I75" i="8"/>
  <c r="H75" i="8"/>
  <c r="I74" i="8"/>
  <c r="H74" i="8"/>
  <c r="I73" i="8"/>
  <c r="H73" i="8"/>
  <c r="E71" i="8"/>
  <c r="I71" i="8" s="1"/>
  <c r="D71" i="8"/>
  <c r="D72" i="8" s="1"/>
  <c r="I70" i="8"/>
  <c r="H70" i="8"/>
  <c r="E69" i="8"/>
  <c r="D69" i="8"/>
  <c r="I68" i="8"/>
  <c r="H68" i="8"/>
  <c r="I67" i="8"/>
  <c r="H67" i="8"/>
  <c r="I66" i="8"/>
  <c r="H66" i="8"/>
  <c r="I65" i="8"/>
  <c r="H65" i="8"/>
  <c r="E64" i="8"/>
  <c r="D64" i="8"/>
  <c r="I63" i="8"/>
  <c r="H63" i="8"/>
  <c r="I62" i="8"/>
  <c r="H62" i="8"/>
  <c r="I61" i="8"/>
  <c r="H61" i="8"/>
  <c r="I60" i="8"/>
  <c r="H60" i="8"/>
  <c r="I59" i="8"/>
  <c r="H59" i="8"/>
  <c r="I58" i="8"/>
  <c r="H58" i="8"/>
  <c r="I57" i="8"/>
  <c r="H57" i="8"/>
  <c r="I56" i="8"/>
  <c r="H56" i="8"/>
  <c r="I55" i="8"/>
  <c r="H55" i="8"/>
  <c r="I54" i="8"/>
  <c r="H54" i="8"/>
  <c r="E53" i="8"/>
  <c r="D53" i="8"/>
  <c r="I52" i="8"/>
  <c r="H52" i="8"/>
  <c r="I51" i="8"/>
  <c r="H51" i="8"/>
  <c r="I50" i="8"/>
  <c r="H50" i="8"/>
  <c r="J49" i="8"/>
  <c r="I49" i="8"/>
  <c r="H49" i="8"/>
  <c r="I48" i="8"/>
  <c r="H48" i="8"/>
  <c r="I47" i="8"/>
  <c r="H47" i="8"/>
  <c r="H45" i="8"/>
  <c r="E45" i="8"/>
  <c r="I45" i="8" s="1"/>
  <c r="E44" i="8"/>
  <c r="I44" i="8" s="1"/>
  <c r="D44" i="8"/>
  <c r="H44" i="8" s="1"/>
  <c r="E43" i="8"/>
  <c r="I43" i="8" s="1"/>
  <c r="D43" i="8"/>
  <c r="H43" i="8" s="1"/>
  <c r="E42" i="8"/>
  <c r="I42" i="8" s="1"/>
  <c r="D42" i="8"/>
  <c r="H42" i="8" s="1"/>
  <c r="E41" i="8"/>
  <c r="I41" i="8" s="1"/>
  <c r="D41" i="8"/>
  <c r="H41" i="8" s="1"/>
  <c r="I40" i="8"/>
  <c r="H40" i="8"/>
  <c r="I39" i="8"/>
  <c r="H39" i="8"/>
  <c r="E38" i="8"/>
  <c r="D38" i="8"/>
  <c r="I37" i="8"/>
  <c r="H37" i="8"/>
  <c r="I36" i="8"/>
  <c r="H36" i="8"/>
  <c r="I35" i="8"/>
  <c r="H35" i="8"/>
  <c r="I34" i="8"/>
  <c r="H34" i="8"/>
  <c r="I33" i="8"/>
  <c r="H33" i="8"/>
  <c r="I32" i="8"/>
  <c r="H32" i="8"/>
  <c r="I31" i="8"/>
  <c r="H31" i="8"/>
  <c r="E29" i="8"/>
  <c r="E30" i="8" s="1"/>
  <c r="D29" i="8"/>
  <c r="D30" i="8" s="1"/>
  <c r="I28" i="8"/>
  <c r="H28" i="8"/>
  <c r="I27" i="8"/>
  <c r="H27" i="8"/>
  <c r="I26" i="8"/>
  <c r="H26" i="8"/>
  <c r="I25" i="8"/>
  <c r="H25" i="8"/>
  <c r="I24" i="8"/>
  <c r="H24" i="8"/>
  <c r="I23" i="8"/>
  <c r="H23" i="8"/>
  <c r="I22" i="8"/>
  <c r="H22" i="8"/>
  <c r="G21" i="8"/>
  <c r="G138" i="8" s="1"/>
  <c r="E21" i="8"/>
  <c r="D21" i="8"/>
  <c r="I20" i="8"/>
  <c r="H20" i="8"/>
  <c r="I19" i="8"/>
  <c r="H19" i="8"/>
  <c r="I18" i="8"/>
  <c r="H18" i="8"/>
  <c r="I17" i="8"/>
  <c r="H17" i="8"/>
  <c r="I16" i="8"/>
  <c r="H16" i="8"/>
  <c r="I14" i="8"/>
  <c r="H14" i="8"/>
  <c r="E13" i="8"/>
  <c r="I13" i="8" s="1"/>
  <c r="D13" i="8"/>
  <c r="H13" i="8" s="1"/>
  <c r="E12" i="8"/>
  <c r="I12" i="8" s="1"/>
  <c r="D12" i="8"/>
  <c r="I11" i="8"/>
  <c r="H11" i="8"/>
  <c r="E10" i="8"/>
  <c r="D10" i="8"/>
  <c r="I9" i="8"/>
  <c r="H9" i="8"/>
  <c r="I8" i="8"/>
  <c r="H8" i="8"/>
  <c r="I7" i="8"/>
  <c r="H7" i="8"/>
  <c r="I6" i="8"/>
  <c r="H6" i="8"/>
  <c r="I5" i="8"/>
  <c r="H5" i="8"/>
  <c r="I4" i="8"/>
  <c r="H4" i="8"/>
  <c r="I3" i="8"/>
  <c r="H3" i="8"/>
  <c r="F3" i="8"/>
  <c r="A3" i="8"/>
  <c r="E130" i="7"/>
  <c r="I129" i="7"/>
  <c r="H129" i="7"/>
  <c r="I128" i="7"/>
  <c r="I130" i="7" s="1"/>
  <c r="H128" i="7"/>
  <c r="E114" i="7"/>
  <c r="D110" i="7"/>
  <c r="D109" i="7"/>
  <c r="D108" i="7"/>
  <c r="D107" i="7"/>
  <c r="H130" i="7" l="1"/>
  <c r="H127" i="8"/>
  <c r="D111" i="7"/>
  <c r="E88" i="11"/>
  <c r="E9" i="11"/>
  <c r="E110" i="11" s="1"/>
  <c r="H133" i="8"/>
  <c r="D15" i="8"/>
  <c r="H130" i="8"/>
  <c r="D116" i="8"/>
  <c r="H71" i="8"/>
  <c r="H72" i="8" s="1"/>
  <c r="H87" i="8"/>
  <c r="H69" i="8"/>
  <c r="I87" i="8"/>
  <c r="H111" i="8"/>
  <c r="I133" i="8"/>
  <c r="H103" i="8"/>
  <c r="I92" i="8"/>
  <c r="I112" i="8"/>
  <c r="I114" i="8" s="1"/>
  <c r="H38" i="8"/>
  <c r="I72" i="8"/>
  <c r="I130" i="8"/>
  <c r="H21" i="8"/>
  <c r="H10" i="8"/>
  <c r="H29" i="8"/>
  <c r="H30" i="8" s="1"/>
  <c r="I69" i="8"/>
  <c r="I79" i="8"/>
  <c r="H98" i="8"/>
  <c r="H12" i="8"/>
  <c r="H15" i="8" s="1"/>
  <c r="H53" i="8"/>
  <c r="I15" i="8"/>
  <c r="I10" i="8"/>
  <c r="H79" i="8"/>
  <c r="D108" i="8"/>
  <c r="H108" i="8" s="1"/>
  <c r="I53" i="8"/>
  <c r="I21" i="8"/>
  <c r="I38" i="8"/>
  <c r="I127" i="8"/>
  <c r="D46" i="8"/>
  <c r="I64" i="8"/>
  <c r="H92" i="8"/>
  <c r="I29" i="8"/>
  <c r="I30" i="8" s="1"/>
  <c r="H64" i="8"/>
  <c r="I98" i="8"/>
  <c r="I46" i="8"/>
  <c r="I103" i="8"/>
  <c r="I111" i="8"/>
  <c r="H112" i="8"/>
  <c r="H114" i="8" s="1"/>
  <c r="I124" i="8"/>
  <c r="H136" i="8"/>
  <c r="H137" i="8"/>
  <c r="H46" i="8"/>
  <c r="I137" i="8"/>
  <c r="E72" i="8"/>
  <c r="E116" i="8"/>
  <c r="I116" i="8" s="1"/>
  <c r="E15" i="8"/>
  <c r="A8" i="8"/>
  <c r="E130" i="8"/>
  <c r="H121" i="8"/>
  <c r="H124" i="8" s="1"/>
  <c r="I136" i="8"/>
  <c r="E46" i="8"/>
  <c r="H111" i="7"/>
  <c r="H135" i="7"/>
  <c r="I135" i="7"/>
  <c r="I134" i="7"/>
  <c r="I136" i="7" s="1"/>
  <c r="H134" i="7"/>
  <c r="D114" i="7"/>
  <c r="E106" i="7"/>
  <c r="D106" i="7"/>
  <c r="E101" i="7"/>
  <c r="D101" i="7"/>
  <c r="E136" i="7"/>
  <c r="D136" i="7"/>
  <c r="E118" i="7"/>
  <c r="D118" i="7"/>
  <c r="D130" i="7"/>
  <c r="D133" i="7"/>
  <c r="F6" i="7"/>
  <c r="A6" i="7"/>
  <c r="I110" i="7"/>
  <c r="H110" i="7"/>
  <c r="I109" i="7"/>
  <c r="H109" i="7"/>
  <c r="I108" i="7"/>
  <c r="H108" i="7"/>
  <c r="I107" i="7"/>
  <c r="H107" i="7"/>
  <c r="E111" i="7"/>
  <c r="I111" i="7" s="1"/>
  <c r="E32" i="7"/>
  <c r="D32" i="7"/>
  <c r="D33" i="7" s="1"/>
  <c r="H136" i="7" l="1"/>
  <c r="D138" i="8"/>
  <c r="E138" i="8"/>
  <c r="I138" i="8"/>
  <c r="H138" i="8"/>
  <c r="A11" i="8"/>
  <c r="A16" i="8" s="1"/>
  <c r="E15" i="7"/>
  <c r="A19" i="8" l="1"/>
  <c r="K142" i="7"/>
  <c r="A20" i="8" l="1"/>
  <c r="D124" i="7"/>
  <c r="E47" i="7"/>
  <c r="D47" i="7"/>
  <c r="E46" i="7"/>
  <c r="D46" i="7"/>
  <c r="E45" i="7"/>
  <c r="D45" i="7"/>
  <c r="E44" i="7"/>
  <c r="D44" i="7"/>
  <c r="E16" i="7"/>
  <c r="I16" i="7" s="1"/>
  <c r="D16" i="7"/>
  <c r="H16" i="7" s="1"/>
  <c r="I15" i="7"/>
  <c r="D15" i="7"/>
  <c r="H15" i="7" s="1"/>
  <c r="E74" i="7"/>
  <c r="D74" i="7"/>
  <c r="A22" i="8" l="1"/>
  <c r="A23" i="8" l="1"/>
  <c r="E123" i="7"/>
  <c r="D123" i="7"/>
  <c r="D67" i="7"/>
  <c r="E24" i="7"/>
  <c r="G24" i="7"/>
  <c r="G141" i="7" s="1"/>
  <c r="D24" i="7"/>
  <c r="E18" i="7"/>
  <c r="D18" i="7"/>
  <c r="A25" i="8" l="1"/>
  <c r="A11" i="7"/>
  <c r="E115" i="7"/>
  <c r="E117" i="7" s="1"/>
  <c r="D115" i="7"/>
  <c r="D117" i="7" s="1"/>
  <c r="E75" i="7"/>
  <c r="H74" i="7"/>
  <c r="E82" i="7"/>
  <c r="D82" i="7"/>
  <c r="E72" i="7"/>
  <c r="D72" i="7"/>
  <c r="E67" i="7"/>
  <c r="E56" i="7"/>
  <c r="D56" i="7"/>
  <c r="D49" i="7"/>
  <c r="E41" i="7"/>
  <c r="D41" i="7"/>
  <c r="E33" i="7"/>
  <c r="E13" i="7"/>
  <c r="D13" i="7"/>
  <c r="D90" i="7"/>
  <c r="I57" i="7"/>
  <c r="H57" i="7"/>
  <c r="E138" i="7"/>
  <c r="D138" i="7"/>
  <c r="E140" i="7"/>
  <c r="D140" i="7"/>
  <c r="H131" i="7"/>
  <c r="E131" i="7"/>
  <c r="E133" i="7" s="1"/>
  <c r="H124" i="7"/>
  <c r="I124" i="7"/>
  <c r="E127" i="7"/>
  <c r="D127" i="7"/>
  <c r="H116" i="7"/>
  <c r="I116" i="7"/>
  <c r="I73" i="7"/>
  <c r="H73" i="7"/>
  <c r="I71" i="7"/>
  <c r="H71" i="7"/>
  <c r="I70" i="7"/>
  <c r="H70" i="7"/>
  <c r="I69" i="7"/>
  <c r="H69" i="7"/>
  <c r="I68" i="7"/>
  <c r="H68" i="7"/>
  <c r="I63" i="7"/>
  <c r="H63" i="7"/>
  <c r="E48" i="7"/>
  <c r="A26" i="8" l="1"/>
  <c r="A28" i="8" s="1"/>
  <c r="A31" i="8" s="1"/>
  <c r="A32" i="8" s="1"/>
  <c r="A34" i="8" s="1"/>
  <c r="A35" i="8" s="1"/>
  <c r="A37" i="8" s="1"/>
  <c r="A39" i="8" s="1"/>
  <c r="A41" i="8" s="1"/>
  <c r="A44" i="8" s="1"/>
  <c r="A47" i="8" s="1"/>
  <c r="A50" i="8" s="1"/>
  <c r="A52" i="8" s="1"/>
  <c r="A54" i="8" s="1"/>
  <c r="A56" i="8" s="1"/>
  <c r="A60" i="8" s="1"/>
  <c r="A62" i="8" s="1"/>
  <c r="A65" i="8" s="1"/>
  <c r="A66" i="8" s="1"/>
  <c r="A68" i="8" s="1"/>
  <c r="A70" i="8" s="1"/>
  <c r="A71" i="8" s="1"/>
  <c r="A73" i="8" s="1"/>
  <c r="A74" i="8" s="1"/>
  <c r="A76" i="8" s="1"/>
  <c r="A80" i="8" s="1"/>
  <c r="A82" i="8" s="1"/>
  <c r="A88" i="8" s="1"/>
  <c r="A93" i="8" s="1"/>
  <c r="A96" i="8" s="1"/>
  <c r="A99" i="8" s="1"/>
  <c r="I74" i="7"/>
  <c r="I75" i="7" s="1"/>
  <c r="E49" i="7"/>
  <c r="D75" i="7"/>
  <c r="H75" i="7"/>
  <c r="I131" i="7"/>
  <c r="H72" i="7"/>
  <c r="I72" i="7"/>
  <c r="I139" i="7"/>
  <c r="H139" i="7"/>
  <c r="I137" i="7"/>
  <c r="I138" i="7" s="1"/>
  <c r="H137" i="7"/>
  <c r="H138" i="7" s="1"/>
  <c r="I132" i="7"/>
  <c r="H132" i="7"/>
  <c r="H133" i="7" s="1"/>
  <c r="I126" i="7"/>
  <c r="H126" i="7"/>
  <c r="I125" i="7"/>
  <c r="H125" i="7"/>
  <c r="I118" i="7"/>
  <c r="H118" i="7"/>
  <c r="I122" i="7"/>
  <c r="H122" i="7"/>
  <c r="I120" i="7"/>
  <c r="H120" i="7"/>
  <c r="H113" i="7"/>
  <c r="I113" i="7"/>
  <c r="I112" i="7"/>
  <c r="I114" i="7" s="1"/>
  <c r="H112" i="7"/>
  <c r="I115" i="7"/>
  <c r="I117" i="7" s="1"/>
  <c r="H115" i="7"/>
  <c r="H117" i="7" s="1"/>
  <c r="H103" i="7"/>
  <c r="I103" i="7"/>
  <c r="H104" i="7"/>
  <c r="I104" i="7"/>
  <c r="H105" i="7"/>
  <c r="I105" i="7"/>
  <c r="I102" i="7"/>
  <c r="H102" i="7"/>
  <c r="H97" i="7"/>
  <c r="I97" i="7"/>
  <c r="H98" i="7"/>
  <c r="I98" i="7"/>
  <c r="H99" i="7"/>
  <c r="I99" i="7"/>
  <c r="H100" i="7"/>
  <c r="I100" i="7"/>
  <c r="I96" i="7"/>
  <c r="H96" i="7"/>
  <c r="H92" i="7"/>
  <c r="I92" i="7"/>
  <c r="H93" i="7"/>
  <c r="I93" i="7"/>
  <c r="H94" i="7"/>
  <c r="I94" i="7"/>
  <c r="I91" i="7"/>
  <c r="H91" i="7"/>
  <c r="D95" i="7"/>
  <c r="E90" i="7"/>
  <c r="H84" i="7"/>
  <c r="I84" i="7"/>
  <c r="H85" i="7"/>
  <c r="I85" i="7"/>
  <c r="H86" i="7"/>
  <c r="I86" i="7"/>
  <c r="H87" i="7"/>
  <c r="I87" i="7"/>
  <c r="H88" i="7"/>
  <c r="I88" i="7"/>
  <c r="H89" i="7"/>
  <c r="I89" i="7"/>
  <c r="I83" i="7"/>
  <c r="H83" i="7"/>
  <c r="H77" i="7"/>
  <c r="I77" i="7"/>
  <c r="H78" i="7"/>
  <c r="I78" i="7"/>
  <c r="H79" i="7"/>
  <c r="I79" i="7"/>
  <c r="H80" i="7"/>
  <c r="I80" i="7"/>
  <c r="H81" i="7"/>
  <c r="I81" i="7"/>
  <c r="I76" i="7"/>
  <c r="H76" i="7"/>
  <c r="H58" i="7"/>
  <c r="I58" i="7"/>
  <c r="H59" i="7"/>
  <c r="I59" i="7"/>
  <c r="H60" i="7"/>
  <c r="I60" i="7"/>
  <c r="H61" i="7"/>
  <c r="I61" i="7"/>
  <c r="H62" i="7"/>
  <c r="I62" i="7"/>
  <c r="H64" i="7"/>
  <c r="I64" i="7"/>
  <c r="H65" i="7"/>
  <c r="I65" i="7"/>
  <c r="H66" i="7"/>
  <c r="I66" i="7"/>
  <c r="H114" i="7" l="1"/>
  <c r="A109" i="8"/>
  <c r="A104" i="8"/>
  <c r="I67" i="7"/>
  <c r="A14" i="7"/>
  <c r="H67" i="7"/>
  <c r="I127" i="7"/>
  <c r="I133" i="7"/>
  <c r="H127" i="7"/>
  <c r="I90" i="7"/>
  <c r="H90" i="7"/>
  <c r="I82" i="7"/>
  <c r="H82" i="7"/>
  <c r="I106" i="7"/>
  <c r="H106" i="7"/>
  <c r="H101" i="7"/>
  <c r="I101" i="7"/>
  <c r="I43" i="7"/>
  <c r="I44" i="7"/>
  <c r="I45" i="7"/>
  <c r="I46" i="7"/>
  <c r="I47" i="7"/>
  <c r="I48" i="7"/>
  <c r="H43" i="7"/>
  <c r="H44" i="7"/>
  <c r="H45" i="7"/>
  <c r="H46" i="7"/>
  <c r="H47" i="7"/>
  <c r="H48" i="7"/>
  <c r="H42" i="7"/>
  <c r="I50" i="7"/>
  <c r="H50" i="7"/>
  <c r="I42" i="7"/>
  <c r="H35" i="7"/>
  <c r="I35" i="7"/>
  <c r="H36" i="7"/>
  <c r="I36" i="7"/>
  <c r="H37" i="7"/>
  <c r="I37" i="7"/>
  <c r="H38" i="7"/>
  <c r="I38" i="7"/>
  <c r="H39" i="7"/>
  <c r="I39" i="7"/>
  <c r="H40" i="7"/>
  <c r="I40" i="7"/>
  <c r="I34" i="7"/>
  <c r="H34" i="7"/>
  <c r="H26" i="7"/>
  <c r="I26" i="7"/>
  <c r="H27" i="7"/>
  <c r="I27" i="7"/>
  <c r="H28" i="7"/>
  <c r="I28" i="7"/>
  <c r="H29" i="7"/>
  <c r="I29" i="7"/>
  <c r="H30" i="7"/>
  <c r="I30" i="7"/>
  <c r="H31" i="7"/>
  <c r="I31" i="7"/>
  <c r="H32" i="7"/>
  <c r="I32" i="7"/>
  <c r="I25" i="7"/>
  <c r="H25" i="7"/>
  <c r="H17" i="7"/>
  <c r="I17" i="7"/>
  <c r="H19" i="7"/>
  <c r="I19" i="7"/>
  <c r="H20" i="7"/>
  <c r="I20" i="7"/>
  <c r="H21" i="7"/>
  <c r="I21" i="7"/>
  <c r="H22" i="7"/>
  <c r="I22" i="7"/>
  <c r="H23" i="7"/>
  <c r="I23" i="7"/>
  <c r="I14" i="7"/>
  <c r="H14" i="7"/>
  <c r="H7" i="7"/>
  <c r="I7" i="7"/>
  <c r="H8" i="7"/>
  <c r="I8" i="7"/>
  <c r="H9" i="7"/>
  <c r="I9" i="7"/>
  <c r="H10" i="7"/>
  <c r="I10" i="7"/>
  <c r="H11" i="7"/>
  <c r="I11" i="7"/>
  <c r="H12" i="7"/>
  <c r="I12" i="7"/>
  <c r="I6" i="7"/>
  <c r="H6" i="7"/>
  <c r="H51" i="7"/>
  <c r="I51" i="7"/>
  <c r="H52" i="7"/>
  <c r="I52" i="7"/>
  <c r="H53" i="7"/>
  <c r="I53" i="7"/>
  <c r="H54" i="7"/>
  <c r="I54" i="7"/>
  <c r="H55" i="7"/>
  <c r="I55" i="7"/>
  <c r="I140" i="7"/>
  <c r="H140" i="7"/>
  <c r="E119" i="7"/>
  <c r="I119" i="7" s="1"/>
  <c r="H119" i="7"/>
  <c r="D119" i="7"/>
  <c r="D141" i="7" s="1"/>
  <c r="E95" i="7"/>
  <c r="H95" i="7"/>
  <c r="I95" i="7"/>
  <c r="A112" i="8" l="1"/>
  <c r="A113" i="8" s="1"/>
  <c r="A115" i="8" s="1"/>
  <c r="A117" i="8" s="1"/>
  <c r="A119" i="8" s="1"/>
  <c r="A121" i="8" s="1"/>
  <c r="A122" i="8" s="1"/>
  <c r="A123" i="8" s="1"/>
  <c r="A125" i="8" s="1"/>
  <c r="A126" i="8" s="1"/>
  <c r="A128" i="8" s="1"/>
  <c r="A129" i="8" s="1"/>
  <c r="A131" i="8" s="1"/>
  <c r="A132" i="8" s="1"/>
  <c r="A133" i="8" s="1"/>
  <c r="A134" i="8" s="1"/>
  <c r="A135" i="8" s="1"/>
  <c r="A136" i="8" s="1"/>
  <c r="I24" i="7"/>
  <c r="H24" i="7"/>
  <c r="I18" i="7"/>
  <c r="H18" i="7"/>
  <c r="I13" i="7"/>
  <c r="A19" i="7"/>
  <c r="H56" i="7"/>
  <c r="I56" i="7"/>
  <c r="H41" i="7"/>
  <c r="H49" i="7"/>
  <c r="I49" i="7"/>
  <c r="I33" i="7"/>
  <c r="H33" i="7"/>
  <c r="I41" i="7"/>
  <c r="H13" i="7"/>
  <c r="H141" i="7" l="1"/>
  <c r="A22" i="7"/>
  <c r="A23" i="7" l="1"/>
  <c r="A25" i="7" l="1"/>
  <c r="A26" i="7" l="1"/>
  <c r="A28" i="7" s="1"/>
  <c r="A29" i="7" l="1"/>
  <c r="A31" i="7" s="1"/>
  <c r="A34" i="7" l="1"/>
  <c r="A35" i="7" s="1"/>
  <c r="A37" i="7" s="1"/>
  <c r="A38" i="7"/>
  <c r="A40" i="7" s="1"/>
  <c r="A42" i="7" s="1"/>
  <c r="A44" i="7" s="1"/>
  <c r="A47" i="7" s="1"/>
  <c r="A50" i="7" s="1"/>
  <c r="A53" i="7" s="1"/>
  <c r="A55" i="7" s="1"/>
  <c r="A57" i="7" s="1"/>
  <c r="A59" i="7" s="1"/>
  <c r="A63" i="7" s="1"/>
  <c r="A65" i="7" s="1"/>
  <c r="A68" i="7" s="1"/>
  <c r="A69" i="7" s="1"/>
  <c r="A71" i="7" s="1"/>
  <c r="A73" i="7" s="1"/>
  <c r="A74" i="7" s="1"/>
  <c r="A76" i="7" s="1"/>
  <c r="A77" i="7" s="1"/>
  <c r="A79" i="7" s="1"/>
  <c r="A83" i="7" s="1"/>
  <c r="A85" i="7" s="1"/>
  <c r="A91" i="7" s="1"/>
  <c r="A96" i="7" s="1"/>
  <c r="A99" i="7" s="1"/>
  <c r="A102" i="7" s="1"/>
  <c r="A112" i="7" l="1"/>
  <c r="A107" i="7"/>
  <c r="A115" i="7" l="1"/>
  <c r="A116" i="7" s="1"/>
  <c r="A118" i="7" s="1"/>
  <c r="A120" i="7" s="1"/>
  <c r="A122" i="7" s="1"/>
  <c r="A124" i="7" s="1"/>
  <c r="A125" i="7" s="1"/>
  <c r="A126" i="7" s="1"/>
  <c r="A128" i="7" s="1"/>
  <c r="A129" i="7" s="1"/>
  <c r="A131" i="7" s="1"/>
  <c r="A132" i="7" s="1"/>
  <c r="A134" i="7" s="1"/>
  <c r="A135" i="7" s="1"/>
  <c r="A136" i="7" s="1"/>
  <c r="A137" i="7" s="1"/>
  <c r="A138" i="7" s="1"/>
  <c r="A139" i="7" s="1"/>
  <c r="I141" i="7"/>
</calcChain>
</file>

<file path=xl/sharedStrings.xml><?xml version="1.0" encoding="utf-8"?>
<sst xmlns="http://schemas.openxmlformats.org/spreadsheetml/2006/main" count="641" uniqueCount="258">
  <si>
    <t>Tổ dân phố số 01</t>
  </si>
  <si>
    <t>Tổ dân phố số 02</t>
  </si>
  <si>
    <t>Tổ dân phố số 03</t>
  </si>
  <si>
    <t>Tổ dân phố số 04</t>
  </si>
  <si>
    <t>Tổ dân phố số 05</t>
  </si>
  <si>
    <t>Tổ dân phố số 06</t>
  </si>
  <si>
    <t>Tổ dân phố số 07</t>
  </si>
  <si>
    <t>Tổ dân phố số 08</t>
  </si>
  <si>
    <t>Tổ dân phố số 09</t>
  </si>
  <si>
    <t>Tổ dân phố số 10</t>
  </si>
  <si>
    <t>Tổ dân phố số 11</t>
  </si>
  <si>
    <t>Tổ dân phố số 12</t>
  </si>
  <si>
    <t>Tổ dân phố số 13</t>
  </si>
  <si>
    <t>Tổ dân phố số 14</t>
  </si>
  <si>
    <t>Tổ dân phố số 15</t>
  </si>
  <si>
    <t>Tổ dân phố số 16</t>
  </si>
  <si>
    <t>Tổ dân phố số 17</t>
  </si>
  <si>
    <t>Tổ dân phố số 18</t>
  </si>
  <si>
    <t>Tổ dân phố số 19</t>
  </si>
  <si>
    <t>Tổ dân phố số 20</t>
  </si>
  <si>
    <t>Tổ dân phố số 21</t>
  </si>
  <si>
    <t>Tổ dân phố số 22</t>
  </si>
  <si>
    <t>Tổ dân phố số 23</t>
  </si>
  <si>
    <t>Tổ dân phố số 24</t>
  </si>
  <si>
    <t>Tổ dân phố số 25</t>
  </si>
  <si>
    <t>Tổ dân phố số 26</t>
  </si>
  <si>
    <t>Tổ dân phố số 27</t>
  </si>
  <si>
    <t>Tổ dân phố số 28</t>
  </si>
  <si>
    <t>Tổ dân phố số 29</t>
  </si>
  <si>
    <t>Tổ dân phố số 30</t>
  </si>
  <si>
    <t>Tổ dân phố số 31</t>
  </si>
  <si>
    <t>Tổ dân phố số 32</t>
  </si>
  <si>
    <t>Tổ dân phố số 33</t>
  </si>
  <si>
    <t>Tổ dân phố số 34</t>
  </si>
  <si>
    <t>Tổ dân phố số 35</t>
  </si>
  <si>
    <t>Tổ dân phố số 36</t>
  </si>
  <si>
    <t>Tổ dân phố số 37</t>
  </si>
  <si>
    <t>Tổ dân phố số 38</t>
  </si>
  <si>
    <t>Tổ dân phố số 39</t>
  </si>
  <si>
    <t>Tổ dân phố số 40</t>
  </si>
  <si>
    <t>Tổ dân phố số 41</t>
  </si>
  <si>
    <t>Tổ dân phố số 42</t>
  </si>
  <si>
    <t>Tổ dân phố số 43</t>
  </si>
  <si>
    <t>Tổ dân phố số 44</t>
  </si>
  <si>
    <t>Tổ dân phố số 45</t>
  </si>
  <si>
    <t>Tổ dân phố số 46</t>
  </si>
  <si>
    <t>Tổ dân phố số 47</t>
  </si>
  <si>
    <t>Tổ dân phố số 48</t>
  </si>
  <si>
    <t>Tổ dân phố số 49</t>
  </si>
  <si>
    <t>Tổ dân phố số 50</t>
  </si>
  <si>
    <t>Tổ dân phố số 51</t>
  </si>
  <si>
    <t>Tổ dân phố số 52</t>
  </si>
  <si>
    <t>Tổ dân phố số 53</t>
  </si>
  <si>
    <t>Tổ dân phố số 54</t>
  </si>
  <si>
    <t>Tổ dân phố số 55</t>
  </si>
  <si>
    <t>Tổ dân phố số 56</t>
  </si>
  <si>
    <t>Tổ dân phố số 57</t>
  </si>
  <si>
    <t>Tổ dân phố số 58</t>
  </si>
  <si>
    <t>Tổ dân phố số 59</t>
  </si>
  <si>
    <t>Tổ dân phố số 60</t>
  </si>
  <si>
    <t>Tổ dân phố số 61</t>
  </si>
  <si>
    <t>Tổ dân phố số 62</t>
  </si>
  <si>
    <t>Tổ dân phố số 63</t>
  </si>
  <si>
    <t>Tổ dân phố số 64</t>
  </si>
  <si>
    <t>Tổ dân phố số 65</t>
  </si>
  <si>
    <t>Tổ dân phố số 66</t>
  </si>
  <si>
    <t>Tổ dân phố số 67</t>
  </si>
  <si>
    <t>Tổ dân phố số 68</t>
  </si>
  <si>
    <t>Tổ dân phố số 69</t>
  </si>
  <si>
    <t>Tổ dân phố số 70</t>
  </si>
  <si>
    <t>Tổ dân phố số 71</t>
  </si>
  <si>
    <t>Tổ dân phố số 72</t>
  </si>
  <si>
    <t>Tổ dân phố số 73</t>
  </si>
  <si>
    <t>Tổ dân phố số 74</t>
  </si>
  <si>
    <t>Tổ dân phố số 75</t>
  </si>
  <si>
    <t>Tổ dân phố số 76</t>
  </si>
  <si>
    <t>Tổ dân phố số 77</t>
  </si>
  <si>
    <t>Tổ dân phố số 78</t>
  </si>
  <si>
    <t>Tổ dân phố số 79</t>
  </si>
  <si>
    <t>Tổ dân phố số 80</t>
  </si>
  <si>
    <t>Tổ dân phố số 81</t>
  </si>
  <si>
    <t>Tổ dân phố số 82</t>
  </si>
  <si>
    <t>Tổ dân phố số 83</t>
  </si>
  <si>
    <t>Tổ dân phố</t>
  </si>
  <si>
    <t>Tổ dân phố Vân Dương 1</t>
  </si>
  <si>
    <t>Tổ dân phố Vân Dương 2</t>
  </si>
  <si>
    <t>Bách Khoa</t>
  </si>
  <si>
    <t>Chung cư</t>
  </si>
  <si>
    <t>Thanh Vinh 1</t>
  </si>
  <si>
    <t>Thanh Vinh 2</t>
  </si>
  <si>
    <t>Thanh Vinh 3</t>
  </si>
  <si>
    <t>Thanh Vinh 4</t>
  </si>
  <si>
    <t>Hồng Phước</t>
  </si>
  <si>
    <t>Trung Sơn</t>
  </si>
  <si>
    <t>Vân Dương 1</t>
  </si>
  <si>
    <t>Vân Dương 2</t>
  </si>
  <si>
    <t>Hiền Phước</t>
  </si>
  <si>
    <t>Tân Ninh</t>
  </si>
  <si>
    <t>Số hộ</t>
  </si>
  <si>
    <t>Số nhân khẩu</t>
  </si>
  <si>
    <t>Hiện trạng trước khi sắp xếp</t>
  </si>
  <si>
    <t>TT</t>
  </si>
  <si>
    <t>Tên khu dân cư</t>
  </si>
  <si>
    <t>Tổng cộng</t>
  </si>
  <si>
    <t>TDP Trung Sơn</t>
  </si>
  <si>
    <t>TDP Quan Nam 1</t>
  </si>
  <si>
    <t>TDP Quan Nam 2</t>
  </si>
  <si>
    <t>TDP Quan Nam 3</t>
  </si>
  <si>
    <t>TDP Quan Nam 5</t>
  </si>
  <si>
    <t>TDP Quan Nam 6</t>
  </si>
  <si>
    <t>TDP Quan Nam 4</t>
  </si>
  <si>
    <t>TDP Tân Ninh</t>
  </si>
  <si>
    <t>TDP Hiền Phước</t>
  </si>
  <si>
    <t>TDP Hưởng Phước</t>
  </si>
  <si>
    <t>PHƯỜNG LIÊN CHIỂU</t>
  </si>
  <si>
    <t xml:space="preserve">  ỦY BAN NHÂN DÂN</t>
  </si>
  <si>
    <t>Hiện trạng sau khi sáp nhập</t>
  </si>
  <si>
    <t>Quang Thành 2B</t>
  </si>
  <si>
    <t>Quang Thành3B1</t>
  </si>
  <si>
    <t>Quang Thành3B2</t>
  </si>
  <si>
    <t>Quang Thành 4B1</t>
  </si>
  <si>
    <t>Quang Thành 4B2</t>
  </si>
  <si>
    <t>Quang Thành 3B2</t>
  </si>
  <si>
    <t>Quang Thành  4B1</t>
  </si>
  <si>
    <t>Quang Thành 4A1</t>
  </si>
  <si>
    <t>Quang Thành 4A2</t>
  </si>
  <si>
    <t>Quang Thành 4A3</t>
  </si>
  <si>
    <t>Quang Thành 4A4</t>
  </si>
  <si>
    <t>Quang Thành 2A</t>
  </si>
  <si>
    <t>Quang Thành 3A1</t>
  </si>
  <si>
    <t>Quang Thành 3A2</t>
  </si>
  <si>
    <t>Quang Thành 4A5</t>
  </si>
  <si>
    <t>Quang Thành 4A6</t>
  </si>
  <si>
    <t>Quang Thành 4 B3</t>
  </si>
  <si>
    <t>Đa Phước 3</t>
  </si>
  <si>
    <t>Đa Phước 4</t>
  </si>
  <si>
    <t>Đa Phước 5</t>
  </si>
  <si>
    <t>Đa Phước 2</t>
  </si>
  <si>
    <t>Đa Phước 1A</t>
  </si>
  <si>
    <t>Đa Phước 6</t>
  </si>
  <si>
    <t>Đa Phước 1B</t>
  </si>
  <si>
    <t>Hưởng Phước</t>
  </si>
  <si>
    <t>Quan Nam 1</t>
  </si>
  <si>
    <t>Quan Nam 2</t>
  </si>
  <si>
    <t>Quan Nam 5</t>
  </si>
  <si>
    <t>Quan Nam 3</t>
  </si>
  <si>
    <t>Quan Nam 6</t>
  </si>
  <si>
    <t>Quan Nam 4</t>
  </si>
  <si>
    <t>Phương án sắp xếp</t>
  </si>
  <si>
    <t>TDP Vân Dương 1</t>
  </si>
  <si>
    <t>TDP Vân Dương 2</t>
  </si>
  <si>
    <t xml:space="preserve">Ranh giới </t>
  </si>
  <si>
    <t>P. Đông giáp: Biển
P. Tây giáp: đường Trục I Tây Bắc
P. Nam giáp: đường Nguyễn Chánh
P. Bắc giáp: đường Nguyễn An Ninh</t>
  </si>
  <si>
    <t>Gồm 01 khu Thiết chế văn hoá QT4B3
*Vị trí: đường Phan Văn Thuật - Phan Văn Trường
*Quy mô: DTXD: 3.800m2; DTSD: 170m2: bán kính phục vụ xa nhất 900m</t>
  </si>
  <si>
    <t>P. Đông giáp: Nguyễn Lương Bằng
P.Tây giáp: Đường Đồng Kè
P.Nam giáp: Đường Âu Cơ
P. Bắc giáp: K97 Nguyễn Lương Bằng - Đồng Kè</t>
  </si>
  <si>
    <t>P. Đông giáp: đường Đoàn Phú Tứ
P. Tây giáp: núi
P. Nam giáp: K128 Đoàn Phú Tứ (p. Hòa Khánh)
P. Bắc giáp: K151 Âu Cơ</t>
  </si>
  <si>
    <t>Gồm 01 vị trí
Vị trí: Khu gia đình quân nhân
Quy mô: DTXD: 130m2:, DTSD: 400m2, bán kính phục vụ xa nhất 1000m, khuôn viên rộng</t>
  </si>
  <si>
    <t>Gồm 01 vị trí
Vị trí: Số 576 Âu Cơ
Quy mô: DTXD: 150m2:, DTSD: 390m2; bán kính phục vụ xa nhất 600m, khuôn viên rộng</t>
  </si>
  <si>
    <t>Khu sinh hoạt cộng đồng của Chung cư</t>
  </si>
  <si>
    <t>P. Đông giáp: Đường ĐT 601
P Tây giáp: Khu công nghệ cao
P Nam giáp: Đường Ngô Miễn
P Bắc giáp: Nhà máy nước</t>
  </si>
  <si>
    <t>P. Đông giáp: Kênh thoát lũ 
P. Tây giáp: Khu công nghệ thông tin
P Nam giáp: Kênh thoát lũ
P Bắc giáp: Đường Ngô Miễn</t>
  </si>
  <si>
    <t>Nhà sinh hoạt cộng đồng</t>
  </si>
  <si>
    <t>CỘNG HÒA XÃ HỘI CHỦ NGHĨA VIỆT NAM</t>
  </si>
  <si>
    <t>Độc lập - Tự do - Hạnh phúc</t>
  </si>
  <si>
    <t xml:space="preserve">Tổng cộng </t>
  </si>
  <si>
    <t>Dự kiến tên gọi của TDP</t>
  </si>
  <si>
    <t>Gồm 1 vị trí: Nhà SHCĐ KDC ĐP 1A: 
*Vị trí: 71 Lạc Long Quân; 
* Quy mô: DTXD: 150m2:, DTSD: 425m2: bán kính phục vụ xa nhất 1.300m</t>
  </si>
  <si>
    <t>P. Đông giáp: Đường Nguyễn Lương Bằng
P.Tây giáp: Đồng Kè
P.Nam giáp: k97 Nguyễn Lương Bằng
P. Bắc giáp: Lạc Long Quân</t>
  </si>
  <si>
    <t>Khu TCVH QT 3A2
* Vị trí: đường Phạm Văn Tráng 
* Quy mô: DTXD: 200m2; DTSD: 2500m2: bán kính phục vụ xa nhất 550m</t>
  </si>
  <si>
    <t>Nhà SHCĐ KDC QT3A1: 
*Vị trí: K09 Lạc Long Quân; 
* Quy mô: DTXD=DTSD: 60m2, bán kính phục vụ xa nhất 950m; không có khuôn viên</t>
  </si>
  <si>
    <t>P. Đông giáp: Kênh thoát lũ
P. Tây giáp: Núi
P Nam giáp: Kênh thoát lũ
P Bắc giáp: Sông Cu đê</t>
  </si>
  <si>
    <t xml:space="preserve">P. Đông giáp: phường Hòa Khánh
P. Tây giáp: Xã Bà Nà
P Nam giáp: Phường Hoà Khánh
P Bắc giáp: Kênh thoát lũ </t>
  </si>
  <si>
    <t>P. Đông giáp: Biển
P. Tây giáp: đường Nguyễn Lương Bằng
P. Nam giáp: đường Nguyễn An Ninh
P. Bắc giáp: Phường  Hải Vân</t>
  </si>
  <si>
    <r>
      <t xml:space="preserve">TDP Quan Nam 3
</t>
    </r>
    <r>
      <rPr>
        <sz val="12"/>
        <color theme="1"/>
        <rFont val="Times New Roman"/>
        <family val="1"/>
      </rPr>
      <t>(Năm 2006 Quan Nam 3 tách 1 phần để thành lập Quan Nam 6. Nay nhập lại đặt tên Quan Nam 3)</t>
    </r>
  </si>
  <si>
    <r>
      <t xml:space="preserve">TDP Hưởng Phước
</t>
    </r>
    <r>
      <rPr>
        <sz val="12"/>
        <color theme="1"/>
        <rFont val="Times New Roman"/>
        <family val="1"/>
      </rPr>
      <t>(Hưởng Phước có niên đại hơn 400 năm; TDP Hiền Phước được thành lập năm 1976 sau khi hòa bình lập lại dân cư 2 làng Hiền Phong và làng Hòa Phước (Tản cư đến định cư tại Hưởng Phước trở về làng cũ) và lập thành thôn mới có tên Hiền Phước (Hiền: Lấy chữ đầu của Hiền Phong; Phước: Lấy chữ sau của làng Hòa Phước). Dân cư 2 TDP Hưởng Phước và Hiền Phước có truyền thống đoàn kết gắn bó lâu đời, có nhiều nét văn hóa tương đồng)</t>
    </r>
  </si>
  <si>
    <t>TDP CHUNG CƯ 1</t>
  </si>
  <si>
    <t>P. Đông giáp: Đường số 4 KCN
P. Tây giáp: Đường Âu cơ
P. Nam giáp: Đình Làng Đa Phước 
P. Bắc giáp: đường mòn</t>
  </si>
  <si>
    <t>P. Đông giáp: đường Nguyễn Lương Bằng
P. Tây giáp: đường số 3 KCN
P. Nam giáp: đường số  2 KCN
P. Bắc giáp: Phường Hải Vân</t>
  </si>
  <si>
    <t>P. Đông giáp: Đường Nguyễn Lương Bằng
P.Tây giáp: Đường số 3 KCN
P.Nam giáp: Đường Lạc Long Quân
P. Bắc giáp: Đường số 2 KCN</t>
  </si>
  <si>
    <t>P. Đông giáp: Đường Đồng Kè - Đường số 3
P.Tây giáp: Đường Âu Cơ - đường số 4 KCN
P.Nam giáp: K142 Âu Cơ - Đồng Kè
P. Bắc giáp: Đường số 9 KCN</t>
  </si>
  <si>
    <r>
      <t xml:space="preserve">TDP
QUANG THÀNH 6
</t>
    </r>
    <r>
      <rPr>
        <sz val="12"/>
        <color theme="1"/>
        <rFont val="Times New Roman"/>
        <family val="1"/>
      </rPr>
      <t>như giải thích tại TDP Quang Thành 1</t>
    </r>
  </si>
  <si>
    <r>
      <t xml:space="preserve">TDP
QUANG THÀNH 5
</t>
    </r>
    <r>
      <rPr>
        <sz val="12"/>
        <color theme="1"/>
        <rFont val="Times New Roman"/>
        <family val="1"/>
      </rPr>
      <t>như giải thích tại TDP Quang Thành 1</t>
    </r>
  </si>
  <si>
    <r>
      <t xml:space="preserve">TDP
ĐA PHƯỚC 3
</t>
    </r>
    <r>
      <rPr>
        <sz val="12"/>
        <color theme="1"/>
        <rFont val="Times New Roman"/>
        <family val="1"/>
      </rPr>
      <t>như giải thích tại TDP Đa Phước 1</t>
    </r>
  </si>
  <si>
    <r>
      <t xml:space="preserve">TDP
QUANG THÀNH 1
</t>
    </r>
    <r>
      <rPr>
        <sz val="12"/>
        <color theme="1"/>
        <rFont val="Times New Roman"/>
        <family val="1"/>
      </rPr>
      <t>Khu vực Quang Thành trước đây rộng lớn, tuy nhiên khu vực phát triển sầm uất nhất là khu vực ngã ba Hòa Khánh và lân cận trong vòng bán kính 100m, nên đề xuất lấy vị trí này làm điểm xuất phát để đặt số và theo quy ước thuận chiều kim đồng hồ, lấy tim đường NLB làm trục quay.</t>
    </r>
  </si>
  <si>
    <r>
      <t xml:space="preserve">TDP ĐA PHƯỚC 2
</t>
    </r>
    <r>
      <rPr>
        <sz val="12"/>
        <color theme="1"/>
        <rFont val="Times New Roman"/>
        <family val="1"/>
      </rPr>
      <t>như giải thích tại TDP Đa Phước 1</t>
    </r>
  </si>
  <si>
    <r>
      <t xml:space="preserve">TDP
QUANG THÀNH 2
</t>
    </r>
    <r>
      <rPr>
        <sz val="12"/>
        <color theme="1"/>
        <rFont val="Times New Roman"/>
        <family val="1"/>
      </rPr>
      <t>như giải thích tại TDP Quang Thành 1</t>
    </r>
  </si>
  <si>
    <r>
      <t xml:space="preserve">TDP
QUANG THÀNH 3
</t>
    </r>
    <r>
      <rPr>
        <sz val="12"/>
        <color theme="1"/>
        <rFont val="Times New Roman"/>
        <family val="1"/>
      </rPr>
      <t>như giải thích tại TDP Quang Thành 1</t>
    </r>
  </si>
  <si>
    <r>
      <t xml:space="preserve">TDP 
QUANG THÀNH 4
</t>
    </r>
    <r>
      <rPr>
        <sz val="12"/>
        <color theme="1"/>
        <rFont val="Times New Roman"/>
        <family val="1"/>
      </rPr>
      <t>như giải thích tại TDP Quang Thành 1</t>
    </r>
  </si>
  <si>
    <r>
      <t xml:space="preserve">TDP
ĐA PHƯỚC 4
</t>
    </r>
    <r>
      <rPr>
        <sz val="12"/>
        <color theme="1"/>
        <rFont val="Times New Roman"/>
        <family val="1"/>
      </rPr>
      <t>như giải thích tại TDP Đa Phước 1</t>
    </r>
  </si>
  <si>
    <r>
      <t xml:space="preserve">TDP 
ĐA PHƯỚC 1
</t>
    </r>
    <r>
      <rPr>
        <sz val="12"/>
        <color theme="1"/>
        <rFont val="Times New Roman"/>
        <family val="1"/>
      </rPr>
      <t>Vị trí trung tâm lịch sử, văn hóa của Làng Đa Phước (nơi có đình Đa Phước tọa lạc) và theo quy ước thuận chiều kim đồng hồ</t>
    </r>
  </si>
  <si>
    <r>
      <t xml:space="preserve">TDP 
THANH VINH 1
</t>
    </r>
    <r>
      <rPr>
        <sz val="12"/>
        <color theme="1"/>
        <rFont val="Times New Roman"/>
        <family val="1"/>
      </rPr>
      <t>Thanh Vinh 4 được tách ra từ Thanh Vinh 1. Nay nhập lại lấy tên Thanh Vinh 1</t>
    </r>
  </si>
  <si>
    <t>P. Đông giáp: phường Hải Vân
P. Tây giáp: Đường Vành đai tây 2
P. Nam giáp: đường Mê Linh 
P. Bắc giáp: sông Cu Đê
Công thêm số  hộ Khu dân cư Trung Nam vào Trung Sơn</t>
  </si>
  <si>
    <t>DIỆN TÍCH
(Km2)</t>
  </si>
  <si>
    <r>
      <t xml:space="preserve">TDP QUANG THÀNH 9
</t>
    </r>
    <r>
      <rPr>
        <sz val="12"/>
        <color theme="1"/>
        <rFont val="Times New Roman"/>
        <family val="1"/>
      </rPr>
      <t>Khu dân cư Bách Khoa tiền thân là khu tập thể ĐH Bách Khoa, nằm trên địa dư đất Quang Thành (Đa Phước) vậy việc lấy tên QT phù hợp với yếu tố lịch sử và địa danh cũ</t>
    </r>
    <r>
      <rPr>
        <b/>
        <sz val="12"/>
        <color theme="1"/>
        <rFont val="Times New Roman"/>
        <family val="1"/>
      </rPr>
      <t xml:space="preserve">
và như giải thích tại TDP Quang Thành 1</t>
    </r>
  </si>
  <si>
    <t xml:space="preserve">TDP Quan Nam 2
</t>
  </si>
  <si>
    <t xml:space="preserve"> Nhà SHCĐ KDC QN5
* Vị trí: đường Hoà Liên 6
* Quy mô: DTXD: 170m2:, DTSD:800m2: bán kính phục vụ xa nhất 800m</t>
  </si>
  <si>
    <t xml:space="preserve">
 Nhà SHCĐ KDC QN2
* Quy mô: DTXD: 170m2:, DTSD:800m2: bán kính phục vụ xa nhất 800m
</t>
  </si>
  <si>
    <t xml:space="preserve"> TDP Trung Sơn hoặc TDP Trung Sơn- Hồng Phước 
</t>
  </si>
  <si>
    <t>Tổng cộng (1+…57)</t>
  </si>
  <si>
    <t>P. Đông giáp: K01 Ngô Sĩ Liên (p Hoà Khánh)
P. Tây giáp: đường Tôn Đức Thắng
P. Nam giáp: đường Ngô Thì Nhậm
P. Bắc giáp: đường Ngô Sĩ Liên</t>
  </si>
  <si>
    <t>P. Đông giáp: K01 Ngô Sĩ Liên (p Hoà Khánh)
P. Tây giáp: đường Tôn Đức Thắng
P. Nam giáp: đường Ngô Sĩ Liên
P. Bắc giáp: K144/H78 Nguyễn Lương Bằng</t>
  </si>
  <si>
    <t>P. Đông giáp: đường ray (p Hoà Khánh)
P. Tây giáp: đường Nguyễn Lương Bằng
P. Nam giáp: K144/H78 Nguyễn Lương Bằng
P. Bắc giáp: đường Hoàng Thị Loan nối dài (Trục I Tây Bắc)</t>
  </si>
  <si>
    <t>P. Đông giáp: Đường Vành đai tây 2
P Tây giáp: Kênh thoát lũ
P Nam giáp:Đường Nguyễn Thiên Tích
P Bắc giáp: Kênh thoát lũ</t>
  </si>
  <si>
    <t>P. Đông giáp: Đường Vành đai tây 2
P Tây giáp: Kênh thoát lũ
P Nam giáp:Đường Nguyễn Tất Thành
P Bắc giáp: Đường Nguyễn Thiên Tích</t>
  </si>
  <si>
    <t>TDP 
THANH VINH 2</t>
  </si>
  <si>
    <r>
      <t xml:space="preserve">TDP 
THANH VINH 3
</t>
    </r>
    <r>
      <rPr>
        <sz val="12"/>
        <color theme="1"/>
        <rFont val="Times New Roman"/>
        <family val="1"/>
      </rPr>
      <t>Thanh Vinh 3 được tách ra từ Thanh Vinh 2. Nay nhập lại lấy tên Thanh Vinh 2</t>
    </r>
  </si>
  <si>
    <t>P. Đông giáp: Đường vành đai tây 2
P. Tây giáp: ĐT 601
P Nam giáp: phường Hòa Khánh
P Bắc giáp: Nguyễn Tất Thành</t>
  </si>
  <si>
    <t xml:space="preserve">TDP Quan Nam 5
</t>
  </si>
  <si>
    <t>1. TDP Hiền Tân
2. TDP Tân Ninh
3. TDP Hiền Phước</t>
  </si>
  <si>
    <t>Khu TĐC HL 2 thuộc TDP Quan Nam 1</t>
  </si>
  <si>
    <t>Phía đông đường ĐT 601 thuộc TDP Quan Nam 1</t>
  </si>
  <si>
    <t>Phía Tây đường ĐT 601 thuộc TDP Vân Dương 2</t>
  </si>
  <si>
    <r>
      <t>TDP
QUANG THÀNH 8
n</t>
    </r>
    <r>
      <rPr>
        <sz val="12"/>
        <color theme="1"/>
        <rFont val="Times New Roman"/>
        <family val="1"/>
      </rPr>
      <t>hư giải thích tại TDP Quang Thành 1</t>
    </r>
  </si>
  <si>
    <t>TDP
QUANG THÀNH 7
như giải thích tại TDP Quang Thành 1</t>
  </si>
  <si>
    <t>Chưa có nhà sinh hoạt</t>
  </si>
  <si>
    <t xml:space="preserve">DỰ THẢO PHƯƠNG ÁN SÁP NHẬP TỔ DÂN PHỐ NĂM  2026 </t>
  </si>
  <si>
    <t>P. Đông giáp: Quang Nam 5
P. Tây giáp: Đường kiệt
P Nam giáp: Nguyễn Tất Thành
P Bắc giáp: Kênh thoát lũ</t>
  </si>
  <si>
    <t>Nhà SHCĐ KDC Vân Dương 1: 
*Vị trí: Vân Dương 1
* Quy mô: DTXD: 153m2:, DTSD: 488m2: bán kính phục vụ xa nhất 500m</t>
  </si>
  <si>
    <t xml:space="preserve">Chưa có Nhà SHCĐ
</t>
  </si>
  <si>
    <t>Quy mô hộ gia đình của TDP sau sắp xếp</t>
  </si>
  <si>
    <t>P. Đông giáp: Nguyễn Tất Thành
P. Tây giáp: xã Bà Nà
P Nam giáp: Hưởng Phước
P Bắc giáp: Đường số 8 (khu công nghệ cao)</t>
  </si>
  <si>
    <r>
      <t xml:space="preserve">TDP QUANG THÀNH 9
</t>
    </r>
    <r>
      <rPr>
        <sz val="12"/>
        <rFont val="Times New Roman"/>
        <family val="1"/>
      </rPr>
      <t>Khu dân cư Bách Khoa tiền thân là khu tập thể ĐH Bách Khoa, nằm trên địa dư đất Quang Thành (Đa Phước) vậy việc lấy tên QT phù hợp với yếu tố lịch sử và địa danh cũ</t>
    </r>
    <r>
      <rPr>
        <b/>
        <sz val="12"/>
        <rFont val="Times New Roman"/>
        <family val="1"/>
      </rPr>
      <t xml:space="preserve">
và như giải thích tại TDP Quang Thành 1</t>
    </r>
  </si>
  <si>
    <r>
      <t>TDP
QUANG THÀNH 8
n</t>
    </r>
    <r>
      <rPr>
        <sz val="12"/>
        <rFont val="Times New Roman"/>
        <family val="1"/>
      </rPr>
      <t>hư giải thích tại TDP Quang Thành 1</t>
    </r>
  </si>
  <si>
    <r>
      <t xml:space="preserve">TDP
QUANG THÀNH 6
</t>
    </r>
    <r>
      <rPr>
        <sz val="12"/>
        <rFont val="Times New Roman"/>
        <family val="1"/>
      </rPr>
      <t>như giải thích tại TDP Quang Thành 1</t>
    </r>
  </si>
  <si>
    <r>
      <t xml:space="preserve">TDP
QUANG THÀNH 5
</t>
    </r>
    <r>
      <rPr>
        <sz val="12"/>
        <rFont val="Times New Roman"/>
        <family val="1"/>
      </rPr>
      <t>như giải thích tại TDP Quang Thành 1</t>
    </r>
  </si>
  <si>
    <r>
      <t xml:space="preserve">TDP
ĐA PHƯỚC 3
</t>
    </r>
    <r>
      <rPr>
        <sz val="12"/>
        <rFont val="Times New Roman"/>
        <family val="1"/>
      </rPr>
      <t>như giải thích tại TDP Đa Phước 1</t>
    </r>
  </si>
  <si>
    <r>
      <t xml:space="preserve">TDP
QUANG THÀNH 1
</t>
    </r>
    <r>
      <rPr>
        <sz val="12"/>
        <rFont val="Times New Roman"/>
        <family val="1"/>
      </rPr>
      <t>Khu vực Quang Thành trước đây rộng lớn, tuy nhiên khu vực phát triển sầm uất nhất là khu vực ngã ba Hòa Khánh và lân cận trong vòng bán kính 100m, nên đề xuất lấy vị trí này làm điểm xuất phát để đặt số và theo quy ước thuận chiều kim đồng hồ, lấy tim đường NLB làm trục quay.</t>
    </r>
  </si>
  <si>
    <r>
      <t xml:space="preserve">TDP ĐA PHƯỚC 2
</t>
    </r>
    <r>
      <rPr>
        <sz val="12"/>
        <rFont val="Times New Roman"/>
        <family val="1"/>
      </rPr>
      <t>như giải thích tại TDP Đa Phước 1</t>
    </r>
  </si>
  <si>
    <r>
      <t xml:space="preserve">TDP
QUANG THÀNH 2
</t>
    </r>
    <r>
      <rPr>
        <sz val="12"/>
        <rFont val="Times New Roman"/>
        <family val="1"/>
      </rPr>
      <t>như giải thích tại TDP Quang Thành 1</t>
    </r>
  </si>
  <si>
    <r>
      <t xml:space="preserve">TDP
QUANG THÀNH 3
</t>
    </r>
    <r>
      <rPr>
        <sz val="12"/>
        <rFont val="Times New Roman"/>
        <family val="1"/>
      </rPr>
      <t>như giải thích tại TDP Quang Thành 1</t>
    </r>
  </si>
  <si>
    <r>
      <t xml:space="preserve">TDP 
QUANG THÀNH 4
</t>
    </r>
    <r>
      <rPr>
        <sz val="12"/>
        <rFont val="Times New Roman"/>
        <family val="1"/>
      </rPr>
      <t>như giải thích tại TDP Quang Thành 1</t>
    </r>
  </si>
  <si>
    <r>
      <t xml:space="preserve">TDP
ĐA PHƯỚC 4
</t>
    </r>
    <r>
      <rPr>
        <sz val="12"/>
        <rFont val="Times New Roman"/>
        <family val="1"/>
      </rPr>
      <t>như giải thích tại TDP Đa Phước 1</t>
    </r>
  </si>
  <si>
    <r>
      <t xml:space="preserve">TDP 
ĐA PHƯỚC 1
</t>
    </r>
    <r>
      <rPr>
        <sz val="12"/>
        <rFont val="Times New Roman"/>
        <family val="1"/>
      </rPr>
      <t>Vị trí trung tâm lịch sử, văn hóa của Làng Đa Phước (nơi có đình Đa Phước tọa lạc) và theo quy ước thuận chiều kim đồng hồ</t>
    </r>
  </si>
  <si>
    <r>
      <t xml:space="preserve">TDP 
THANH VINH 3
</t>
    </r>
    <r>
      <rPr>
        <sz val="12"/>
        <rFont val="Times New Roman"/>
        <family val="1"/>
      </rPr>
      <t>Thanh Vinh 3 được tách ra từ Thanh Vinh 2. Nay nhập lại lấy tên Thanh Vinh 2</t>
    </r>
  </si>
  <si>
    <r>
      <t xml:space="preserve">TDP 
THANH VINH 1
</t>
    </r>
    <r>
      <rPr>
        <sz val="12"/>
        <rFont val="Times New Roman"/>
        <family val="1"/>
      </rPr>
      <t>Thanh Vinh 4 được tách ra từ Thanh Vinh 1. Nay nhập lại lấy tên Thanh Vinh 1</t>
    </r>
  </si>
  <si>
    <r>
      <t xml:space="preserve">TDP Quan Nam 3
</t>
    </r>
    <r>
      <rPr>
        <sz val="12"/>
        <rFont val="Times New Roman"/>
        <family val="1"/>
      </rPr>
      <t>(Năm 2006 Quan Nam 3 tách 1 phần để thành lập Quan Nam 6. Nay nhập lại đặt tên Quan Nam 3)</t>
    </r>
  </si>
  <si>
    <r>
      <t xml:space="preserve">TDP Hưởng Phước
</t>
    </r>
    <r>
      <rPr>
        <sz val="12"/>
        <rFont val="Times New Roman"/>
        <family val="1"/>
      </rPr>
      <t>(Hưởng Phước có niên đại hơn 400 năm; TDP Hiền Phước được thành lập năm 1976 sau khi hòa bình lập lại dân cư 2 làng Hiền Phong và làng Hòa Phước (Tản cư đến định cư tại Hưởng Phước trở về làng cũ) và lập thành thôn mới có tên Hiền Phước (Hiền: Lấy chữ đầu của Hiền Phong; Phước: Lấy chữ sau của làng Hòa Phước). Dân cư 2 TDP Hưởng Phước và Hiền Phước có truyền thống đoàn kết gắn bó lâu đời, có nhiều nét văn hóa tương đồng)</t>
    </r>
  </si>
  <si>
    <t>Nhà SHCĐ KDC Vân Dương 2
* Vị trí:  Vân Dương 2
* Quy mô: DTXD: 95m2:, DTSD: 632m2: bán kính phục vụ xa nhất 900m</t>
  </si>
  <si>
    <t>Tổng cộng (1+…60)</t>
  </si>
  <si>
    <t>P. Đông giáp: đường Tôn Đức Thắng
P. Tây giáp: đường Đoàn Phú Tư
P. Nam giáp: Ngô Văn Sở
P. Bắc giáp: đường Âu Cơ - Đồng Kè -  K142 Âu Cơ</t>
  </si>
  <si>
    <t>P. Đông giáp: đường số 4 KCN - đường Âu Cơ
P. Tây giáp: núi
P. Nam giáp: K151 Âu Cơ 
P. Bắc giáp: K529 Âu Cơ (Ranh giới giữa Đa Phước và Thanh Vinh cũ trước đây)</t>
  </si>
  <si>
    <t xml:space="preserve">P. Đông giáp: đường Thanh Vinh 11 - đường Lê Công Kiều - đường số 10B
P. Tây giáp: núi
P. Nam giáp: K529 Âu Cơ (Ranh giới giữa Đa Phước và Thanh Vinh cũ trước đây)
P. Bắc giáp: K665- đường số 8 KCN
</t>
  </si>
  <si>
    <t>P. Đông giáp: đường Thanh Vinh 11 - đường Lê Công Kiều - đường số 10B
P. Tây giáp: núi
P. Nam giáp: núi
P. Bắc giáp: K1031 Âu Cơ - đường số 11- đường Mê Linh</t>
  </si>
  <si>
    <t xml:space="preserve">P. Đông giáp: Đường số 3
P. Tây giáp: đường Thanh Vinh 11 - đường Lê Công Kiều - đường số 10B
P. Nam giáp: K665 Âu Cơ - dường số 8
P. Bắc giáp: đường Mê Linh
</t>
  </si>
  <si>
    <r>
      <t xml:space="preserve">Gồm 2 vị trí:
</t>
    </r>
    <r>
      <rPr>
        <b/>
        <sz val="12"/>
        <color rgb="FFFF0000"/>
        <rFont val="Times New Roman"/>
        <family val="1"/>
      </rPr>
      <t>1. Nhà SHCĐ KDC Bách Khoa: dự kiến bố trí cho lực lượng ANCS trực
*Vị trí: K48 Ngô Sĩ Liên; 
* Quy mô: DTXD: 130m2:, DTSD: 1.089m2: bán kính phục vụ xa nhất 430m, mới được đầu tư, bán kính phục vụ đảm bảo, khuôn viên rộng</t>
    </r>
    <r>
      <rPr>
        <sz val="12"/>
        <rFont val="Times New Roman"/>
        <family val="1"/>
      </rPr>
      <t xml:space="preserve">
2. Nhà SHCĐ KDC Quang Thành 2
* Vị trí: K906/12 Tôn Đức Thắng 
* Quy mô: DTXD=DTSD: 116m2: bán kính phục vụ xa nhất 800m; không có khuôn viên 
</t>
    </r>
    <r>
      <rPr>
        <b/>
        <sz val="12"/>
        <rFont val="Times New Roman"/>
        <family val="1"/>
      </rPr>
      <t>Đề xuất chọn vị trí 1: NHSCĐ KDC Bách Khoa</t>
    </r>
  </si>
  <si>
    <r>
      <t xml:space="preserve">
 N</t>
    </r>
    <r>
      <rPr>
        <b/>
        <sz val="12"/>
        <rFont val="Times New Roman"/>
        <family val="1"/>
      </rPr>
      <t>hà SHCĐ KDC Quang Thành 3B1: 
*Vị trí: K82 Nguyễn Lương Bằng; 
* Quy mô: DTXD: 100m2:, DTSD: 400m2: bán kính phục vụ xa nhất 800m, mới được đầu tư, bán kính phục vụ đảm bảo, khuôn viên rộng</t>
    </r>
    <r>
      <rPr>
        <sz val="12"/>
        <rFont val="Times New Roman"/>
        <family val="1"/>
      </rPr>
      <t xml:space="preserve">
</t>
    </r>
  </si>
  <si>
    <t xml:space="preserve"> Nhà SHCĐ KDC Quang Thành 3B2
Vị trí: K166/32 Nguyễn Lương Bằng
Quy mô: DTXD: 100m2; DTSD: 200m2</t>
  </si>
  <si>
    <r>
      <t xml:space="preserve">Gồm 2 vị trí:
</t>
    </r>
    <r>
      <rPr>
        <b/>
        <sz val="12"/>
        <rFont val="Times New Roman"/>
        <family val="1"/>
      </rPr>
      <t>1. Nhà SHCĐ KDC Quang Thành 4A3,4
*Vị trí: đường Bàu Mạc 19; 
* Quy mô: DTXD: 250m, DTSD: 1.800m, bán kính phục vụ xa nhất 570m, mới được đầu tư, bán kính phục vụ đảm bảo, khuôn viên rộng</t>
    </r>
    <r>
      <rPr>
        <sz val="12"/>
        <rFont val="Times New Roman"/>
        <family val="1"/>
      </rPr>
      <t xml:space="preserve">
2. Nhà SHCĐ KDC Quang Thành 4A1
* Vị trí: K146 Phan Văn Định 
* Quy mô: DTXD=DTSD: 100m2, bán kính phục vụ xa nhất 800m; không có khuôn viên 
</t>
    </r>
    <r>
      <rPr>
        <b/>
        <sz val="12"/>
        <color theme="1"/>
        <rFont val="Times New Roman"/>
        <family val="1"/>
      </rPr>
      <t>Đề xuất chọn vị trí 1: NSHCĐ KDC Quang Thành 4A3,4</t>
    </r>
  </si>
  <si>
    <r>
      <t xml:space="preserve">Gồm 2 vị trí:
1. Nhà SHCĐ KDC ĐP 3: 
*Vị trí: 31 Đồng Kè; 
* Quy mô: DTXD: 100m2:, DTSD: 200m2: bán kính phục vụ xa nhất 450m
</t>
    </r>
    <r>
      <rPr>
        <b/>
        <sz val="12"/>
        <rFont val="Times New Roman"/>
        <family val="1"/>
      </rPr>
      <t>2. Nhà SHCĐ KDC ĐP5
* Vị trí: đường Lê A - Đoàn Phú Tứ 
* Quy mô: DTXD: 120m2; DTSD: 1300m2: bán kính phục vụ xa nhất 650m</t>
    </r>
    <r>
      <rPr>
        <sz val="12"/>
        <rFont val="Times New Roman"/>
        <family val="1"/>
      </rPr>
      <t xml:space="preserve">
</t>
    </r>
    <r>
      <rPr>
        <b/>
        <sz val="12"/>
        <rFont val="Times New Roman"/>
        <family val="1"/>
      </rPr>
      <t>Đề xuất chọn vị trí 2</t>
    </r>
  </si>
  <si>
    <t>Không có Nhà SHCĐ
Sử dụng Trường Nguyễn Lương Bằng</t>
  </si>
  <si>
    <r>
      <t xml:space="preserve">Gồm 2 vị trí:
</t>
    </r>
    <r>
      <rPr>
        <b/>
        <sz val="12"/>
        <rFont val="Times New Roman"/>
        <family val="1"/>
      </rPr>
      <t>1. Nhà SHCĐ KDC QT4A6: 
*Vị trí: 40 Bùi Chát; 
* Quy mô: DTXD: 100m2:, DTSD: 200m2: bán kính phục vụ xa nhất 350m</t>
    </r>
    <r>
      <rPr>
        <sz val="12"/>
        <rFont val="Times New Roman"/>
        <family val="1"/>
      </rPr>
      <t xml:space="preserve">
2. Nhà SHCĐ KDC QT4A5
* Vị trí: K455 Nguyễn Lương Bằng 
* Quy mô: DTXD=DTSD: 70m2: bán kính phục vụ xa nhất 550m
</t>
    </r>
    <r>
      <rPr>
        <b/>
        <sz val="12"/>
        <rFont val="Times New Roman"/>
        <family val="1"/>
      </rPr>
      <t>Đề xuất chọn vị trí 1: NHSCĐ KDC QT4A6</t>
    </r>
  </si>
  <si>
    <t>Gồm 01 vị trí
Vị trí: K703/19 Âu Cơ
Quy mô: DTXD: 100m2:, DTSD: 1.100m2; bán kính phục vụ xa nhất 800m, khuôn viên rộng</t>
  </si>
  <si>
    <t>Gồm 01 vị trí
Vị trí: Nhà sinh hoạt Trung Sơn
Quy mô: DTXD: 170m2:, DTSD: 1.920m2; bán kính phục vụ xa nhất 1.500m</t>
  </si>
  <si>
    <r>
      <t xml:space="preserve">Gồm 2 vị trí:
</t>
    </r>
    <r>
      <rPr>
        <b/>
        <sz val="12"/>
        <rFont val="Times New Roman"/>
        <family val="1"/>
      </rPr>
      <t>1. Nhà SHCĐ KDC QN1 mới: 
*Vị trí: đường Đồng Lớn 12; 
* Quy mô: DTXD: 165m2:, DTSD: 1.448m2: bán kính phục vụ xa nhất 850m</t>
    </r>
    <r>
      <rPr>
        <sz val="12"/>
        <rFont val="Times New Roman"/>
        <family val="1"/>
      </rPr>
      <t xml:space="preserve">
2. Nhà SHCĐ KDC QN1
* Vị trí: 
* Quy mô: DTXD: 103m2:, DTSD: 203m2: bán kính phục vụ xa nhất 900m
</t>
    </r>
    <r>
      <rPr>
        <b/>
        <sz val="12"/>
        <rFont val="Times New Roman"/>
        <family val="1"/>
      </rPr>
      <t>Đề xuất chọn vị trí 1</t>
    </r>
  </si>
  <si>
    <r>
      <t xml:space="preserve">Gồm 2 vị trí:
1. Nhà SHCĐ KDC QN3: 
*Vị trí: Đường DT 601
* Quy mô: DTXD: 139m2:, DTSD: 243m2: bán kính phục vụ xa nhất 2.900m
</t>
    </r>
    <r>
      <rPr>
        <b/>
        <sz val="12"/>
        <rFont val="Times New Roman"/>
        <family val="1"/>
      </rPr>
      <t>2. Nhà SHCĐ KDC QN6
* Vị trí:
* Quy mô: DTXD: 161m2:, DTSD: 563m2: bán kính phục vụ xa nhất 2.800m
Đề xuất chọn vị trí: 2</t>
    </r>
  </si>
  <si>
    <t xml:space="preserve">
1. Nhà SHCĐ  Quan Nam 4 trước Hồ điều tiết nước.
* Vị trí: 
* Quy mô: DTXD: 159m2, DTSD: 244m2: bán kính phục vụ xa nhất 650m </t>
  </si>
  <si>
    <r>
      <t xml:space="preserve">Gồm 2 vị trí:
</t>
    </r>
    <r>
      <rPr>
        <b/>
        <sz val="12"/>
        <rFont val="Times New Roman"/>
        <family val="1"/>
      </rPr>
      <t>1. Nhà SHCĐ KDC Hưởng Phước: 
*Vị trí: Đường DT 601
* Quy mô: DTXD: 258m2:, DTSD: 800m2: bán kính phục vụ xa nhất 1.500m</t>
    </r>
    <r>
      <rPr>
        <sz val="12"/>
        <rFont val="Times New Roman"/>
        <family val="1"/>
      </rPr>
      <t xml:space="preserve">
2. Nhà SHCĐ KDC  Hiền Phước
* Vị trí:
* Quy mô: DTXD: 176m2:, DTSD: 1000m2: bán kính phục vụ xa nhất 1.100m
</t>
    </r>
    <r>
      <rPr>
        <b/>
        <sz val="12"/>
        <rFont val="Times New Roman"/>
        <family val="1"/>
      </rPr>
      <t>Đề xuất chọn vị trí 1</t>
    </r>
  </si>
  <si>
    <t xml:space="preserve">
* 1 Vị trí : Nhà SHCĐ Tân Ninh
* Quy mô: DTXD: 132m2:, DTSD: 1009m2: bán kính phục vụ xa nhất 700m (Hiện tại đang cấn GTĐB dự Tân Ninh giai đoạn 2) cần xem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</si>
</sst>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Calibri"/>
      <family val="2"/>
      <scheme val="minor"/>
    </font>
    <font>
      <sz val="12"/>
      <name val="Times New Roman"/>
      <family val="1"/>
    </font>
    <font>
      <b/>
      <sz val="12"/>
      <name val="Times New Roman"/>
      <family val="1"/>
    </font>
    <font>
      <b/>
      <sz val="12"/>
      <color theme="1"/>
      <name val="Times New Roman"/>
      <family val="1"/>
    </font>
    <font>
      <sz val="8"/>
      <name val="Calibri"/>
      <family val="2"/>
      <scheme val="minor"/>
    </font>
    <font>
      <sz val="12"/>
      <color theme="1"/>
      <name val="Times New Roman"/>
      <family val="1"/>
    </font>
    <font>
      <sz val="12"/>
      <color rgb="FFFF0000"/>
      <name val="Times New Roman"/>
      <family val="1"/>
    </font>
    <font>
      <sz val="11"/>
      <color theme="1"/>
      <name val="Calibri"/>
      <family val="2"/>
      <scheme val="minor"/>
    </font>
    <font>
      <sz val="13"/>
      <color rgb="FF000000"/>
      <name val="Times New Roman"/>
      <family val="1"/>
    </font>
    <font>
      <sz val="12"/>
      <color rgb="FF000000"/>
      <name val="Times New Roman"/>
      <family val="1"/>
    </font>
    <font>
      <sz val="11"/>
      <name val="Calibri"/>
      <family val="2"/>
      <scheme val="minor"/>
    </font>
    <font>
      <b/>
      <sz val="12"/>
      <color rgb="FF000000"/>
      <name val="Times New Roman"/>
      <family val="1"/>
    </font>
    <font>
      <b/>
      <sz val="10"/>
      <color theme="1"/>
      <name val="Times New Roman"/>
      <family val="1"/>
    </font>
    <font>
      <b/>
      <sz val="12"/>
      <color rgb="FFFF0000"/>
      <name val="Times New Roman"/>
      <family val="1"/>
    </font>
    <font>
      <b/>
      <i/>
      <sz val="12"/>
      <color theme="1"/>
      <name val="Times New Roman"/>
      <family val="1"/>
    </font>
    <font>
      <b/>
      <sz val="13"/>
      <name val="Times New Roman"/>
      <family val="1"/>
    </font>
    <font>
      <b/>
      <i/>
      <sz val="12"/>
      <name val="Times New Roman"/>
      <family val="1"/>
    </font>
    <font>
      <b/>
      <sz val="1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43" fontId="7" fillId="0" borderId="0" applyFont="0" applyFill="0" applyBorder="0" applyAlignment="0" applyProtection="0"/>
  </cellStyleXfs>
  <cellXfs count="181">
    <xf numFmtId="0" fontId="0" fillId="0" borderId="0" xfId="0"/>
    <xf numFmtId="0" fontId="5" fillId="2" borderId="1" xfId="0" applyFont="1" applyFill="1" applyBorder="1" applyAlignment="1">
      <alignment horizontal="center" vertical="center" wrapText="1"/>
    </xf>
    <xf numFmtId="0" fontId="10" fillId="0" borderId="0" xfId="0" applyFont="1"/>
    <xf numFmtId="0" fontId="5" fillId="2" borderId="0" xfId="0" applyFont="1" applyFill="1" applyAlignment="1">
      <alignment vertical="center"/>
    </xf>
    <xf numFmtId="0" fontId="5" fillId="2" borderId="0" xfId="0" applyFont="1" applyFill="1"/>
    <xf numFmtId="0" fontId="3" fillId="2" borderId="0" xfId="0" applyFont="1" applyFill="1"/>
    <xf numFmtId="0" fontId="3" fillId="2" borderId="0" xfId="0" applyFont="1" applyFill="1" applyAlignment="1">
      <alignment vertical="center" wrapText="1"/>
    </xf>
    <xf numFmtId="0" fontId="5" fillId="2" borderId="4" xfId="0" applyFont="1" applyFill="1" applyBorder="1" applyAlignment="1">
      <alignment vertical="center" wrapText="1"/>
    </xf>
    <xf numFmtId="0" fontId="5" fillId="2" borderId="0" xfId="0" applyFont="1" applyFill="1" applyAlignment="1">
      <alignment vertical="center" wrapText="1"/>
    </xf>
    <xf numFmtId="0" fontId="5" fillId="2" borderId="0" xfId="0" applyFont="1" applyFill="1" applyAlignment="1">
      <alignment horizontal="center" vertical="center"/>
    </xf>
    <xf numFmtId="164" fontId="5" fillId="2" borderId="0" xfId="1" applyNumberFormat="1" applyFont="1" applyFill="1" applyAlignment="1">
      <alignment horizontal="center" vertical="center"/>
    </xf>
    <xf numFmtId="164" fontId="5" fillId="2" borderId="0" xfId="1" applyNumberFormat="1" applyFont="1" applyFill="1"/>
    <xf numFmtId="0" fontId="3" fillId="2" borderId="6" xfId="0" applyFont="1" applyFill="1" applyBorder="1" applyAlignment="1">
      <alignment horizontal="center" vertical="center" wrapText="1"/>
    </xf>
    <xf numFmtId="0" fontId="5" fillId="2" borderId="2" xfId="0"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0" fontId="5" fillId="2" borderId="1" xfId="0" applyFont="1" applyFill="1" applyBorder="1" applyAlignment="1">
      <alignment horizontal="center" vertical="center"/>
    </xf>
    <xf numFmtId="164" fontId="5" fillId="2" borderId="1" xfId="1" applyNumberFormat="1"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64" fontId="5" fillId="2" borderId="1" xfId="1" applyNumberFormat="1"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5" fillId="2" borderId="4" xfId="0" applyFont="1" applyFill="1" applyBorder="1" applyAlignment="1">
      <alignment horizontal="center" vertical="center" wrapText="1"/>
    </xf>
    <xf numFmtId="164" fontId="5" fillId="2" borderId="1" xfId="1" applyNumberFormat="1" applyFont="1" applyFill="1" applyBorder="1" applyAlignment="1">
      <alignment horizontal="center"/>
    </xf>
    <xf numFmtId="3" fontId="3" fillId="2" borderId="1" xfId="0" applyNumberFormat="1" applyFont="1" applyFill="1" applyBorder="1" applyAlignment="1">
      <alignment horizontal="center" vertical="center"/>
    </xf>
    <xf numFmtId="164" fontId="5" fillId="2" borderId="4" xfId="1" applyNumberFormat="1" applyFont="1" applyFill="1" applyBorder="1" applyAlignment="1">
      <alignment horizontal="center" vertical="center"/>
    </xf>
    <xf numFmtId="164" fontId="3" fillId="2" borderId="6" xfId="1" applyNumberFormat="1" applyFont="1" applyFill="1" applyBorder="1" applyAlignment="1">
      <alignment horizontal="center" vertical="center" wrapText="1"/>
    </xf>
    <xf numFmtId="164" fontId="5" fillId="2" borderId="4" xfId="1" applyNumberFormat="1" applyFont="1" applyFill="1" applyBorder="1" applyAlignment="1">
      <alignment horizontal="center" vertical="center" wrapText="1"/>
    </xf>
    <xf numFmtId="164" fontId="3" fillId="2" borderId="4" xfId="1" applyNumberFormat="1" applyFont="1" applyFill="1" applyBorder="1" applyAlignment="1">
      <alignment horizontal="center" vertical="center" wrapText="1"/>
    </xf>
    <xf numFmtId="0" fontId="5" fillId="2" borderId="2" xfId="0" applyFont="1" applyFill="1" applyBorder="1" applyAlignment="1">
      <alignment horizontal="center" vertical="center"/>
    </xf>
    <xf numFmtId="3" fontId="3" fillId="2" borderId="3" xfId="0" applyNumberFormat="1" applyFont="1" applyFill="1" applyBorder="1" applyAlignment="1">
      <alignment horizontal="center" vertical="center" wrapText="1"/>
    </xf>
    <xf numFmtId="0" fontId="3" fillId="2" borderId="1" xfId="0" applyFont="1" applyFill="1" applyBorder="1" applyAlignment="1">
      <alignment vertical="center" wrapText="1"/>
    </xf>
    <xf numFmtId="164" fontId="5" fillId="2" borderId="5" xfId="1" applyNumberFormat="1" applyFont="1" applyFill="1" applyBorder="1" applyAlignment="1">
      <alignment horizontal="center" vertical="center"/>
    </xf>
    <xf numFmtId="0" fontId="6" fillId="2" borderId="0" xfId="0" applyFont="1" applyFill="1"/>
    <xf numFmtId="0" fontId="5" fillId="2" borderId="0" xfId="0" applyFont="1" applyFill="1" applyAlignment="1">
      <alignment horizontal="center"/>
    </xf>
    <xf numFmtId="0" fontId="5" fillId="2" borderId="1" xfId="0" applyFont="1" applyFill="1" applyBorder="1" applyAlignment="1">
      <alignment horizontal="center"/>
    </xf>
    <xf numFmtId="0" fontId="3" fillId="2" borderId="0" xfId="0" applyFont="1" applyFill="1" applyAlignment="1">
      <alignment horizontal="center" vertical="center" wrapText="1"/>
    </xf>
    <xf numFmtId="0" fontId="3" fillId="2" borderId="1" xfId="0" applyFont="1" applyFill="1" applyBorder="1" applyAlignment="1">
      <alignment horizontal="center" vertical="center"/>
    </xf>
    <xf numFmtId="0" fontId="5" fillId="2" borderId="4" xfId="0" applyFont="1" applyFill="1" applyBorder="1" applyAlignment="1">
      <alignment horizontal="center"/>
    </xf>
    <xf numFmtId="0" fontId="5" fillId="2" borderId="2" xfId="0" applyFont="1" applyFill="1" applyBorder="1" applyAlignment="1">
      <alignment horizontal="center"/>
    </xf>
    <xf numFmtId="0" fontId="3" fillId="2" borderId="1"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6" fillId="2" borderId="0" xfId="0" applyFont="1" applyFill="1" applyAlignment="1">
      <alignment horizontal="center" vertical="center"/>
    </xf>
    <xf numFmtId="164" fontId="3" fillId="2" borderId="1" xfId="0" applyNumberFormat="1" applyFont="1" applyFill="1" applyBorder="1" applyAlignment="1">
      <alignment vertical="center"/>
    </xf>
    <xf numFmtId="0" fontId="3" fillId="2" borderId="2" xfId="0" applyFont="1" applyFill="1" applyBorder="1" applyAlignment="1">
      <alignment horizontal="center" vertical="center" wrapText="1"/>
    </xf>
    <xf numFmtId="3" fontId="3" fillId="2" borderId="2" xfId="0" applyNumberFormat="1" applyFont="1" applyFill="1" applyBorder="1" applyAlignment="1">
      <alignment horizontal="center" vertical="center" wrapText="1"/>
    </xf>
    <xf numFmtId="164" fontId="5" fillId="2" borderId="2" xfId="1" applyNumberFormat="1" applyFont="1" applyFill="1" applyBorder="1" applyAlignment="1">
      <alignment horizontal="center" vertical="center" wrapText="1"/>
    </xf>
    <xf numFmtId="164" fontId="13" fillId="2" borderId="1" xfId="1" applyNumberFormat="1" applyFont="1" applyFill="1" applyBorder="1" applyAlignment="1">
      <alignment horizontal="center" vertical="center" wrapText="1"/>
    </xf>
    <xf numFmtId="164" fontId="12" fillId="2" borderId="1" xfId="1" applyNumberFormat="1" applyFont="1" applyFill="1" applyBorder="1" applyAlignment="1">
      <alignment horizontal="center" vertical="center"/>
    </xf>
    <xf numFmtId="0" fontId="2" fillId="2" borderId="1" xfId="0" applyFont="1" applyFill="1" applyBorder="1" applyAlignment="1">
      <alignment vertical="center" wrapText="1"/>
    </xf>
    <xf numFmtId="0" fontId="2" fillId="2" borderId="1" xfId="0" applyFont="1" applyFill="1" applyBorder="1" applyAlignment="1">
      <alignment vertical="center"/>
    </xf>
    <xf numFmtId="164" fontId="2" fillId="2" borderId="1" xfId="1" applyNumberFormat="1" applyFont="1" applyFill="1" applyBorder="1" applyAlignment="1">
      <alignment horizontal="center" vertical="center"/>
    </xf>
    <xf numFmtId="164" fontId="6" fillId="2" borderId="0" xfId="1" applyNumberFormat="1" applyFont="1" applyFill="1" applyAlignment="1">
      <alignment horizontal="center" vertical="center"/>
    </xf>
    <xf numFmtId="164" fontId="3" fillId="2" borderId="12" xfId="1" applyNumberFormat="1" applyFont="1" applyFill="1" applyBorder="1" applyAlignment="1">
      <alignment horizontal="center" vertical="center" wrapText="1"/>
    </xf>
    <xf numFmtId="0" fontId="3" fillId="2" borderId="13"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164" fontId="5" fillId="3" borderId="1" xfId="1" applyNumberFormat="1" applyFont="1" applyFill="1" applyBorder="1" applyAlignment="1">
      <alignment horizontal="center" vertical="center" wrapText="1"/>
    </xf>
    <xf numFmtId="164" fontId="5" fillId="3" borderId="4" xfId="1" applyNumberFormat="1" applyFont="1" applyFill="1" applyBorder="1" applyAlignment="1">
      <alignment horizontal="center" vertical="center" wrapText="1"/>
    </xf>
    <xf numFmtId="0" fontId="5" fillId="3" borderId="0" xfId="0" applyFont="1" applyFill="1"/>
    <xf numFmtId="164" fontId="3" fillId="3" borderId="1" xfId="1"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164" fontId="1" fillId="2" borderId="1" xfId="1"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164" fontId="6" fillId="2" borderId="1" xfId="1" applyNumberFormat="1" applyFont="1" applyFill="1" applyBorder="1" applyAlignment="1">
      <alignment horizontal="center" vertical="center"/>
    </xf>
    <xf numFmtId="0" fontId="0" fillId="0" borderId="0" xfId="0" applyAlignment="1">
      <alignment vertical="center" wrapText="1"/>
    </xf>
    <xf numFmtId="0" fontId="11" fillId="4" borderId="9"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14" xfId="0" applyFont="1" applyBorder="1" applyAlignment="1">
      <alignment horizontal="center" vertical="center" wrapText="1"/>
    </xf>
    <xf numFmtId="0" fontId="11" fillId="0" borderId="14" xfId="0" applyFont="1" applyBorder="1" applyAlignment="1">
      <alignment horizontal="center" vertical="center" wrapText="1"/>
    </xf>
    <xf numFmtId="0" fontId="15" fillId="2" borderId="0" xfId="0" applyFont="1" applyFill="1" applyAlignment="1">
      <alignment horizontal="left" vertical="top"/>
    </xf>
    <xf numFmtId="0" fontId="15" fillId="2" borderId="0" xfId="0" applyFont="1" applyFill="1" applyAlignment="1">
      <alignment horizontal="center" vertical="center"/>
    </xf>
    <xf numFmtId="0" fontId="1" fillId="2" borderId="0" xfId="0" applyFont="1" applyFill="1" applyAlignment="1">
      <alignment horizontal="center"/>
    </xf>
    <xf numFmtId="164" fontId="1" fillId="2" borderId="0" xfId="1" applyNumberFormat="1" applyFont="1" applyFill="1" applyAlignment="1">
      <alignment horizontal="center" vertical="center"/>
    </xf>
    <xf numFmtId="0" fontId="2" fillId="2" borderId="0" xfId="0" applyFont="1" applyFill="1" applyAlignment="1">
      <alignment horizontal="center" vertical="center" wrapText="1"/>
    </xf>
    <xf numFmtId="0" fontId="1" fillId="2" borderId="0" xfId="0" applyFont="1" applyFill="1"/>
    <xf numFmtId="0" fontId="2" fillId="2" borderId="1" xfId="0" applyFont="1" applyFill="1" applyBorder="1" applyAlignment="1">
      <alignment horizontal="center" vertical="center"/>
    </xf>
    <xf numFmtId="164" fontId="2" fillId="2" borderId="1" xfId="1"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0" xfId="0" applyFont="1" applyFill="1"/>
    <xf numFmtId="0" fontId="1" fillId="2" borderId="1" xfId="0" applyFont="1" applyFill="1" applyBorder="1" applyAlignment="1">
      <alignment horizontal="center"/>
    </xf>
    <xf numFmtId="164" fontId="1" fillId="2" borderId="1" xfId="1"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43" fontId="2" fillId="2" borderId="1" xfId="1" applyFont="1" applyFill="1" applyBorder="1" applyAlignment="1">
      <alignment vertical="center"/>
    </xf>
    <xf numFmtId="164" fontId="1" fillId="2" borderId="0" xfId="0" applyNumberFormat="1" applyFont="1" applyFill="1"/>
    <xf numFmtId="0" fontId="1" fillId="2" borderId="0" xfId="0" applyFont="1" applyFill="1" applyAlignment="1">
      <alignment vertical="center"/>
    </xf>
    <xf numFmtId="164" fontId="1" fillId="2" borderId="0" xfId="0" applyNumberFormat="1" applyFont="1" applyFill="1" applyAlignment="1">
      <alignment vertical="center"/>
    </xf>
    <xf numFmtId="164" fontId="2" fillId="2" borderId="0" xfId="0" applyNumberFormat="1" applyFont="1" applyFill="1"/>
    <xf numFmtId="3" fontId="2" fillId="2" borderId="1" xfId="0" applyNumberFormat="1" applyFont="1" applyFill="1" applyBorder="1" applyAlignment="1">
      <alignment horizontal="center" vertical="center" wrapText="1"/>
    </xf>
    <xf numFmtId="0" fontId="2" fillId="2" borderId="0" xfId="0" applyFont="1" applyFill="1" applyAlignment="1">
      <alignment vertical="center" wrapText="1"/>
    </xf>
    <xf numFmtId="0" fontId="1" fillId="2" borderId="0" xfId="0" applyFont="1" applyFill="1" applyAlignment="1">
      <alignment vertical="center" wrapText="1"/>
    </xf>
    <xf numFmtId="0" fontId="1" fillId="2" borderId="1" xfId="0" applyFont="1" applyFill="1" applyBorder="1" applyAlignment="1">
      <alignment vertical="center" wrapText="1"/>
    </xf>
    <xf numFmtId="164" fontId="1" fillId="2" borderId="1" xfId="1" applyNumberFormat="1" applyFont="1" applyFill="1" applyBorder="1" applyAlignment="1">
      <alignment horizontal="center"/>
    </xf>
    <xf numFmtId="3" fontId="2" fillId="2" borderId="1" xfId="0" applyNumberFormat="1" applyFont="1" applyFill="1" applyBorder="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164" fontId="2" fillId="2" borderId="1" xfId="0" applyNumberFormat="1" applyFont="1" applyFill="1" applyBorder="1" applyAlignment="1">
      <alignment vertical="center"/>
    </xf>
    <xf numFmtId="164" fontId="17" fillId="2" borderId="1" xfId="1" applyNumberFormat="1" applyFont="1" applyFill="1" applyBorder="1" applyAlignment="1">
      <alignment horizontal="center" vertical="center"/>
    </xf>
    <xf numFmtId="0" fontId="1" fillId="2" borderId="1" xfId="0" applyFont="1" applyFill="1" applyBorder="1" applyAlignment="1">
      <alignment vertical="center"/>
    </xf>
    <xf numFmtId="164" fontId="1" fillId="2" borderId="0" xfId="1" applyNumberFormat="1" applyFont="1" applyFill="1"/>
    <xf numFmtId="43" fontId="1" fillId="2" borderId="0" xfId="1" applyFont="1" applyFill="1" applyAlignment="1">
      <alignment vertical="center"/>
    </xf>
    <xf numFmtId="43" fontId="1" fillId="2" borderId="1" xfId="1" applyFont="1" applyFill="1" applyBorder="1" applyAlignment="1">
      <alignment vertical="center"/>
    </xf>
    <xf numFmtId="0" fontId="16" fillId="2" borderId="1" xfId="0" applyFont="1" applyFill="1" applyBorder="1" applyAlignment="1">
      <alignment horizontal="center" vertical="center" wrapText="1"/>
    </xf>
    <xf numFmtId="43" fontId="1" fillId="2" borderId="1" xfId="1" applyFont="1" applyFill="1" applyBorder="1" applyAlignment="1">
      <alignment vertical="center" wrapText="1"/>
    </xf>
    <xf numFmtId="0" fontId="1" fillId="2" borderId="1" xfId="0" applyFont="1" applyFill="1" applyBorder="1" applyAlignment="1">
      <alignment horizontal="left" vertical="center" wrapText="1"/>
    </xf>
    <xf numFmtId="43" fontId="17" fillId="2" borderId="1" xfId="1" applyFont="1" applyFill="1" applyBorder="1" applyAlignment="1">
      <alignment vertical="center"/>
    </xf>
    <xf numFmtId="0" fontId="1" fillId="2" borderId="1" xfId="0" applyFont="1" applyFill="1" applyBorder="1" applyAlignment="1">
      <alignment horizontal="left" vertical="center"/>
    </xf>
    <xf numFmtId="0" fontId="2" fillId="2" borderId="1" xfId="0" applyFont="1" applyFill="1" applyBorder="1" applyAlignment="1">
      <alignment horizontal="left" vertical="center" wrapText="1"/>
    </xf>
    <xf numFmtId="164" fontId="1" fillId="2" borderId="1" xfId="1" applyNumberFormat="1" applyFont="1" applyFill="1" applyBorder="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43" fontId="1" fillId="2" borderId="1" xfId="1" applyFont="1" applyFill="1" applyBorder="1" applyAlignment="1">
      <alignment vertical="center" wrapText="1"/>
    </xf>
    <xf numFmtId="43" fontId="1" fillId="2" borderId="1" xfId="1" applyFont="1" applyFill="1" applyBorder="1" applyAlignment="1">
      <alignment vertical="center"/>
    </xf>
    <xf numFmtId="0" fontId="1" fillId="2" borderId="1"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2" fillId="2" borderId="8" xfId="0" applyFont="1" applyFill="1" applyBorder="1" applyAlignment="1">
      <alignment horizontal="center" vertical="center" wrapText="1"/>
    </xf>
    <xf numFmtId="164" fontId="2" fillId="2" borderId="0" xfId="1" applyNumberFormat="1" applyFont="1" applyFill="1" applyAlignment="1">
      <alignment horizontal="center"/>
    </xf>
    <xf numFmtId="164" fontId="15" fillId="2" borderId="0" xfId="1" applyNumberFormat="1" applyFont="1" applyFill="1" applyAlignment="1">
      <alignment horizontal="center"/>
    </xf>
    <xf numFmtId="43" fontId="2" fillId="2" borderId="1" xfId="0" applyNumberFormat="1" applyFont="1" applyFill="1" applyBorder="1" applyAlignment="1">
      <alignment vertical="center" wrapText="1"/>
    </xf>
    <xf numFmtId="3"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xf>
    <xf numFmtId="164" fontId="1" fillId="2" borderId="1" xfId="1" applyNumberFormat="1" applyFont="1" applyFill="1" applyBorder="1" applyAlignment="1">
      <alignment horizontal="left" vertical="center" wrapText="1"/>
    </xf>
    <xf numFmtId="0" fontId="2"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3" fontId="3" fillId="2" borderId="2"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3" fontId="3" fillId="2" borderId="4" xfId="0" applyNumberFormat="1" applyFont="1" applyFill="1" applyBorder="1" applyAlignment="1">
      <alignment horizontal="center" vertical="center" wrapText="1"/>
    </xf>
    <xf numFmtId="3" fontId="3" fillId="2" borderId="2" xfId="0" applyNumberFormat="1" applyFont="1" applyFill="1" applyBorder="1" applyAlignment="1">
      <alignment horizontal="center" vertical="center"/>
    </xf>
    <xf numFmtId="3" fontId="3" fillId="2" borderId="3" xfId="0" applyNumberFormat="1" applyFont="1" applyFill="1" applyBorder="1" applyAlignment="1">
      <alignment horizontal="center" vertical="center"/>
    </xf>
    <xf numFmtId="3" fontId="3" fillId="2" borderId="4"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3" fillId="2" borderId="10"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center" vertical="center"/>
    </xf>
    <xf numFmtId="3" fontId="3" fillId="3" borderId="2" xfId="0" applyNumberFormat="1" applyFont="1" applyFill="1" applyBorder="1" applyAlignment="1">
      <alignment horizontal="center" vertical="center" wrapText="1"/>
    </xf>
    <xf numFmtId="3" fontId="3" fillId="3" borderId="4"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3" fontId="3" fillId="2" borderId="1"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0" fontId="9" fillId="4" borderId="15"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4" borderId="16"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4" xfId="0" applyFont="1" applyFill="1" applyBorder="1" applyAlignment="1">
      <alignment horizontal="center" vertical="center"/>
    </xf>
    <xf numFmtId="3" fontId="11" fillId="4" borderId="16" xfId="0" applyNumberFormat="1" applyFont="1" applyFill="1" applyBorder="1" applyAlignment="1">
      <alignment horizontal="center" vertical="center" wrapText="1"/>
    </xf>
    <xf numFmtId="3" fontId="11" fillId="4" borderId="14"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444500</xdr:colOff>
      <xdr:row>2</xdr:row>
      <xdr:rowOff>31750</xdr:rowOff>
    </xdr:from>
    <xdr:to>
      <xdr:col>1</xdr:col>
      <xdr:colOff>755650</xdr:colOff>
      <xdr:row>2</xdr:row>
      <xdr:rowOff>31750</xdr:rowOff>
    </xdr:to>
    <xdr:cxnSp macro="">
      <xdr:nvCxnSpPr>
        <xdr:cNvPr id="8" name="Straight Connector 7">
          <a:extLst>
            <a:ext uri="{FF2B5EF4-FFF2-40B4-BE49-F238E27FC236}">
              <a16:creationId xmlns:a16="http://schemas.microsoft.com/office/drawing/2014/main" id="{0C97E339-7431-D45D-6D74-58053371DC55}"/>
            </a:ext>
          </a:extLst>
        </xdr:cNvPr>
        <xdr:cNvCxnSpPr/>
      </xdr:nvCxnSpPr>
      <xdr:spPr>
        <a:xfrm>
          <a:off x="444500" y="450850"/>
          <a:ext cx="83185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530785</xdr:colOff>
      <xdr:row>2</xdr:row>
      <xdr:rowOff>17556</xdr:rowOff>
    </xdr:from>
    <xdr:to>
      <xdr:col>10</xdr:col>
      <xdr:colOff>1232647</xdr:colOff>
      <xdr:row>2</xdr:row>
      <xdr:rowOff>17556</xdr:rowOff>
    </xdr:to>
    <xdr:cxnSp macro="">
      <xdr:nvCxnSpPr>
        <xdr:cNvPr id="2" name="Straight Connector 1">
          <a:extLst>
            <a:ext uri="{FF2B5EF4-FFF2-40B4-BE49-F238E27FC236}">
              <a16:creationId xmlns:a16="http://schemas.microsoft.com/office/drawing/2014/main" id="{D0AECCF7-6DC0-44C9-B898-44FA24FC1D41}"/>
            </a:ext>
          </a:extLst>
        </xdr:cNvPr>
        <xdr:cNvCxnSpPr/>
      </xdr:nvCxnSpPr>
      <xdr:spPr>
        <a:xfrm>
          <a:off x="7982697" y="443380"/>
          <a:ext cx="184486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4"/>
  <sheetViews>
    <sheetView tabSelected="1" topLeftCell="A55" zoomScale="85" zoomScaleNormal="85" workbookViewId="0">
      <selection activeCell="F73" sqref="F73:F75"/>
    </sheetView>
  </sheetViews>
  <sheetFormatPr defaultColWidth="9.140625" defaultRowHeight="15.75" x14ac:dyDescent="0.25"/>
  <cols>
    <col min="1" max="1" width="6.140625" style="101" customWidth="1"/>
    <col min="2" max="2" width="16.85546875" style="101" customWidth="1"/>
    <col min="3" max="3" width="18" style="77" customWidth="1"/>
    <col min="4" max="4" width="9.42578125" style="78" bestFit="1" customWidth="1"/>
    <col min="5" max="5" width="8.85546875" style="78" customWidth="1"/>
    <col min="6" max="6" width="6.7109375" style="79" customWidth="1"/>
    <col min="7" max="7" width="37.7109375" style="80" customWidth="1"/>
    <col min="8" max="8" width="8" style="105" bestFit="1" customWidth="1"/>
    <col min="9" max="9" width="8.140625" style="78" bestFit="1" customWidth="1"/>
    <col min="10" max="10" width="9" style="106" customWidth="1"/>
    <col min="11" max="11" width="36.28515625" style="100" customWidth="1"/>
    <col min="12" max="12" width="49" style="91" customWidth="1"/>
    <col min="13" max="16384" width="9.140625" style="80"/>
  </cols>
  <sheetData>
    <row r="1" spans="1:12" ht="16.5" x14ac:dyDescent="0.25">
      <c r="A1" s="75" t="s">
        <v>115</v>
      </c>
      <c r="B1" s="76"/>
      <c r="H1" s="125" t="s">
        <v>162</v>
      </c>
      <c r="I1" s="125"/>
      <c r="J1" s="125"/>
      <c r="K1" s="125"/>
      <c r="L1" s="80"/>
    </row>
    <row r="2" spans="1:12" ht="16.5" x14ac:dyDescent="0.25">
      <c r="A2" s="75" t="s">
        <v>114</v>
      </c>
      <c r="B2" s="76"/>
      <c r="H2" s="126" t="s">
        <v>163</v>
      </c>
      <c r="I2" s="126"/>
      <c r="J2" s="126"/>
      <c r="K2" s="126"/>
      <c r="L2" s="80"/>
    </row>
    <row r="3" spans="1:12" ht="33" customHeight="1" x14ac:dyDescent="0.25">
      <c r="A3" s="123" t="s">
        <v>215</v>
      </c>
      <c r="B3" s="124"/>
      <c r="C3" s="124"/>
      <c r="D3" s="124"/>
      <c r="E3" s="124"/>
      <c r="F3" s="124"/>
      <c r="G3" s="124"/>
      <c r="H3" s="124"/>
      <c r="I3" s="124"/>
      <c r="J3" s="124"/>
      <c r="K3" s="124"/>
      <c r="L3" s="80"/>
    </row>
    <row r="4" spans="1:12" ht="35.25" customHeight="1" x14ac:dyDescent="0.25">
      <c r="A4" s="116" t="s">
        <v>100</v>
      </c>
      <c r="B4" s="116"/>
      <c r="C4" s="116"/>
      <c r="D4" s="116"/>
      <c r="E4" s="116"/>
      <c r="F4" s="116" t="s">
        <v>116</v>
      </c>
      <c r="G4" s="116"/>
      <c r="H4" s="116"/>
      <c r="I4" s="116"/>
      <c r="J4" s="127" t="s">
        <v>192</v>
      </c>
      <c r="K4" s="116" t="s">
        <v>151</v>
      </c>
      <c r="L4" s="131" t="s">
        <v>161</v>
      </c>
    </row>
    <row r="5" spans="1:12" s="84" customFormat="1" ht="53.25" customHeight="1" x14ac:dyDescent="0.25">
      <c r="A5" s="83" t="s">
        <v>101</v>
      </c>
      <c r="B5" s="50" t="s">
        <v>102</v>
      </c>
      <c r="C5" s="81" t="s">
        <v>83</v>
      </c>
      <c r="D5" s="82" t="s">
        <v>98</v>
      </c>
      <c r="E5" s="82" t="s">
        <v>99</v>
      </c>
      <c r="F5" s="83" t="s">
        <v>101</v>
      </c>
      <c r="G5" s="83" t="s">
        <v>165</v>
      </c>
      <c r="H5" s="82" t="s">
        <v>98</v>
      </c>
      <c r="I5" s="82" t="s">
        <v>99</v>
      </c>
      <c r="J5" s="127"/>
      <c r="K5" s="116"/>
      <c r="L5" s="131"/>
    </row>
    <row r="6" spans="1:12" ht="21.75" customHeight="1" x14ac:dyDescent="0.25">
      <c r="A6" s="119">
        <f>COUNTA($A$5:A5)</f>
        <v>1</v>
      </c>
      <c r="B6" s="122" t="s">
        <v>117</v>
      </c>
      <c r="C6" s="85" t="s">
        <v>2</v>
      </c>
      <c r="D6" s="86">
        <v>69</v>
      </c>
      <c r="E6" s="86">
        <v>307</v>
      </c>
      <c r="F6" s="122">
        <f>COUNTA(F$5:$F5)</f>
        <v>1</v>
      </c>
      <c r="G6" s="116" t="s">
        <v>221</v>
      </c>
      <c r="H6" s="86">
        <f>D6</f>
        <v>69</v>
      </c>
      <c r="I6" s="86">
        <f>E6</f>
        <v>307</v>
      </c>
      <c r="J6" s="121">
        <v>0.46</v>
      </c>
      <c r="K6" s="117" t="s">
        <v>199</v>
      </c>
      <c r="L6" s="132" t="s">
        <v>244</v>
      </c>
    </row>
    <row r="7" spans="1:12" ht="21.75" customHeight="1" x14ac:dyDescent="0.25">
      <c r="A7" s="119"/>
      <c r="B7" s="122"/>
      <c r="C7" s="85" t="s">
        <v>3</v>
      </c>
      <c r="D7" s="86">
        <v>62</v>
      </c>
      <c r="E7" s="86">
        <v>228</v>
      </c>
      <c r="F7" s="122"/>
      <c r="G7" s="116"/>
      <c r="H7" s="86">
        <f t="shared" ref="H7:H12" si="0">D7</f>
        <v>62</v>
      </c>
      <c r="I7" s="86">
        <f t="shared" ref="I7:I12" si="1">E7</f>
        <v>228</v>
      </c>
      <c r="J7" s="121"/>
      <c r="K7" s="117"/>
      <c r="L7" s="133"/>
    </row>
    <row r="8" spans="1:12" ht="21.75" customHeight="1" x14ac:dyDescent="0.25">
      <c r="A8" s="119"/>
      <c r="B8" s="122"/>
      <c r="C8" s="85" t="s">
        <v>4</v>
      </c>
      <c r="D8" s="86">
        <v>107</v>
      </c>
      <c r="E8" s="86">
        <v>454</v>
      </c>
      <c r="F8" s="122"/>
      <c r="G8" s="116"/>
      <c r="H8" s="86">
        <f t="shared" si="0"/>
        <v>107</v>
      </c>
      <c r="I8" s="86">
        <f t="shared" si="1"/>
        <v>454</v>
      </c>
      <c r="J8" s="121"/>
      <c r="K8" s="117"/>
      <c r="L8" s="133"/>
    </row>
    <row r="9" spans="1:12" ht="21.75" customHeight="1" x14ac:dyDescent="0.25">
      <c r="A9" s="119"/>
      <c r="B9" s="122"/>
      <c r="C9" s="85" t="s">
        <v>5</v>
      </c>
      <c r="D9" s="86">
        <v>103</v>
      </c>
      <c r="E9" s="86">
        <v>362</v>
      </c>
      <c r="F9" s="122"/>
      <c r="G9" s="116"/>
      <c r="H9" s="86">
        <f t="shared" si="0"/>
        <v>103</v>
      </c>
      <c r="I9" s="86">
        <f t="shared" si="1"/>
        <v>362</v>
      </c>
      <c r="J9" s="121"/>
      <c r="K9" s="117"/>
      <c r="L9" s="133"/>
    </row>
    <row r="10" spans="1:12" ht="21.75" customHeight="1" x14ac:dyDescent="0.25">
      <c r="A10" s="119"/>
      <c r="B10" s="122"/>
      <c r="C10" s="85" t="s">
        <v>6</v>
      </c>
      <c r="D10" s="86">
        <v>97</v>
      </c>
      <c r="E10" s="86">
        <v>399</v>
      </c>
      <c r="F10" s="122"/>
      <c r="G10" s="116"/>
      <c r="H10" s="86">
        <f t="shared" si="0"/>
        <v>97</v>
      </c>
      <c r="I10" s="86">
        <f t="shared" si="1"/>
        <v>399</v>
      </c>
      <c r="J10" s="121"/>
      <c r="K10" s="117"/>
      <c r="L10" s="133"/>
    </row>
    <row r="11" spans="1:12" ht="21.75" customHeight="1" x14ac:dyDescent="0.25">
      <c r="A11" s="119">
        <f>COUNTA($A$5:A10)</f>
        <v>2</v>
      </c>
      <c r="B11" s="122" t="s">
        <v>86</v>
      </c>
      <c r="C11" s="85" t="s">
        <v>7</v>
      </c>
      <c r="D11" s="86">
        <v>81</v>
      </c>
      <c r="E11" s="86">
        <v>305</v>
      </c>
      <c r="F11" s="122"/>
      <c r="G11" s="116"/>
      <c r="H11" s="86">
        <f t="shared" si="0"/>
        <v>81</v>
      </c>
      <c r="I11" s="86">
        <f t="shared" si="1"/>
        <v>305</v>
      </c>
      <c r="J11" s="121"/>
      <c r="K11" s="117"/>
      <c r="L11" s="133"/>
    </row>
    <row r="12" spans="1:12" ht="39.75" customHeight="1" x14ac:dyDescent="0.25">
      <c r="A12" s="119"/>
      <c r="B12" s="122"/>
      <c r="C12" s="87" t="s">
        <v>8</v>
      </c>
      <c r="D12" s="86">
        <v>90</v>
      </c>
      <c r="E12" s="86">
        <v>375</v>
      </c>
      <c r="F12" s="122"/>
      <c r="G12" s="116"/>
      <c r="H12" s="86">
        <f t="shared" si="0"/>
        <v>90</v>
      </c>
      <c r="I12" s="86">
        <f t="shared" si="1"/>
        <v>375</v>
      </c>
      <c r="J12" s="121"/>
      <c r="K12" s="117"/>
      <c r="L12" s="133"/>
    </row>
    <row r="13" spans="1:12" ht="33.75" customHeight="1" x14ac:dyDescent="0.25">
      <c r="A13" s="88"/>
      <c r="B13" s="116" t="s">
        <v>103</v>
      </c>
      <c r="C13" s="116"/>
      <c r="D13" s="82">
        <f>SUM(D6:D12)</f>
        <v>609</v>
      </c>
      <c r="E13" s="82">
        <f>SUM(E6:E12)</f>
        <v>2430</v>
      </c>
      <c r="F13" s="83"/>
      <c r="G13" s="97"/>
      <c r="H13" s="82">
        <f>SUM(H6:H12)</f>
        <v>609</v>
      </c>
      <c r="I13" s="82">
        <f>SUM(I6:I12)</f>
        <v>2430</v>
      </c>
      <c r="J13" s="121"/>
      <c r="K13" s="117"/>
      <c r="L13" s="133"/>
    </row>
    <row r="14" spans="1:12" ht="24" customHeight="1" x14ac:dyDescent="0.25">
      <c r="A14" s="119">
        <f>COUNTA($A$5:A13)</f>
        <v>3</v>
      </c>
      <c r="B14" s="122" t="s">
        <v>118</v>
      </c>
      <c r="C14" s="85" t="s">
        <v>9</v>
      </c>
      <c r="D14" s="67">
        <v>107</v>
      </c>
      <c r="E14" s="67">
        <v>329</v>
      </c>
      <c r="F14" s="116">
        <v>2</v>
      </c>
      <c r="G14" s="116" t="s">
        <v>222</v>
      </c>
      <c r="H14" s="67">
        <f>D14</f>
        <v>107</v>
      </c>
      <c r="I14" s="67">
        <f>E14</f>
        <v>329</v>
      </c>
      <c r="J14" s="121">
        <v>0.31</v>
      </c>
      <c r="K14" s="117" t="s">
        <v>200</v>
      </c>
      <c r="L14" s="122" t="s">
        <v>245</v>
      </c>
    </row>
    <row r="15" spans="1:12" ht="21.75" customHeight="1" x14ac:dyDescent="0.25">
      <c r="A15" s="119"/>
      <c r="B15" s="122"/>
      <c r="C15" s="85" t="s">
        <v>10</v>
      </c>
      <c r="D15" s="86">
        <f>126+8</f>
        <v>134</v>
      </c>
      <c r="E15" s="86">
        <f>415+21</f>
        <v>436</v>
      </c>
      <c r="F15" s="116"/>
      <c r="G15" s="116"/>
      <c r="H15" s="67">
        <f t="shared" ref="H15:H16" si="2">D15</f>
        <v>134</v>
      </c>
      <c r="I15" s="67">
        <f t="shared" ref="I15:I16" si="3">E15</f>
        <v>436</v>
      </c>
      <c r="J15" s="121"/>
      <c r="K15" s="117"/>
      <c r="L15" s="122"/>
    </row>
    <row r="16" spans="1:12" ht="35.25" customHeight="1" x14ac:dyDescent="0.25">
      <c r="A16" s="119"/>
      <c r="B16" s="122"/>
      <c r="C16" s="87" t="s">
        <v>11</v>
      </c>
      <c r="D16" s="67">
        <f>122+32</f>
        <v>154</v>
      </c>
      <c r="E16" s="67">
        <f>423+96</f>
        <v>519</v>
      </c>
      <c r="F16" s="116"/>
      <c r="G16" s="116"/>
      <c r="H16" s="67">
        <f t="shared" si="2"/>
        <v>154</v>
      </c>
      <c r="I16" s="67">
        <f t="shared" si="3"/>
        <v>519</v>
      </c>
      <c r="J16" s="121"/>
      <c r="K16" s="117"/>
      <c r="L16" s="122"/>
    </row>
    <row r="17" spans="1:14" ht="31.5" customHeight="1" x14ac:dyDescent="0.25">
      <c r="A17" s="119"/>
      <c r="B17" s="122"/>
      <c r="C17" s="87" t="s">
        <v>12</v>
      </c>
      <c r="D17" s="67">
        <v>62</v>
      </c>
      <c r="E17" s="67">
        <v>216</v>
      </c>
      <c r="F17" s="116"/>
      <c r="G17" s="116"/>
      <c r="H17" s="67">
        <f t="shared" ref="H17:H23" si="4">D17</f>
        <v>62</v>
      </c>
      <c r="I17" s="67">
        <f t="shared" ref="I17:I23" si="5">E17</f>
        <v>216</v>
      </c>
      <c r="J17" s="121"/>
      <c r="K17" s="117"/>
      <c r="L17" s="122"/>
    </row>
    <row r="18" spans="1:14" ht="21.75" customHeight="1" x14ac:dyDescent="0.25">
      <c r="A18" s="88"/>
      <c r="B18" s="116" t="s">
        <v>103</v>
      </c>
      <c r="C18" s="116"/>
      <c r="D18" s="52">
        <f>SUM(D14:D17)</f>
        <v>457</v>
      </c>
      <c r="E18" s="52">
        <f>SUM(E14:E17)</f>
        <v>1500</v>
      </c>
      <c r="F18" s="83"/>
      <c r="G18" s="50"/>
      <c r="H18" s="82">
        <f>SUM(H14:H17)</f>
        <v>457</v>
      </c>
      <c r="I18" s="82">
        <f>SUM(I14:I17)</f>
        <v>1500</v>
      </c>
      <c r="J18" s="89"/>
      <c r="K18" s="113"/>
      <c r="L18" s="51"/>
    </row>
    <row r="19" spans="1:14" ht="21.75" customHeight="1" x14ac:dyDescent="0.25">
      <c r="A19" s="119">
        <f>COUNTA($A$5:A17)</f>
        <v>4</v>
      </c>
      <c r="B19" s="122" t="s">
        <v>119</v>
      </c>
      <c r="C19" s="85" t="s">
        <v>13</v>
      </c>
      <c r="D19" s="86">
        <v>125</v>
      </c>
      <c r="E19" s="86">
        <v>456</v>
      </c>
      <c r="F19" s="116">
        <v>3</v>
      </c>
      <c r="G19" s="116" t="s">
        <v>213</v>
      </c>
      <c r="H19" s="67">
        <f t="shared" si="4"/>
        <v>125</v>
      </c>
      <c r="I19" s="67">
        <f t="shared" si="5"/>
        <v>456</v>
      </c>
      <c r="J19" s="121">
        <v>0.2</v>
      </c>
      <c r="K19" s="130" t="s">
        <v>201</v>
      </c>
      <c r="L19" s="116" t="s">
        <v>246</v>
      </c>
    </row>
    <row r="20" spans="1:14" ht="21.75" customHeight="1" x14ac:dyDescent="0.25">
      <c r="A20" s="119"/>
      <c r="B20" s="122"/>
      <c r="C20" s="85" t="s">
        <v>14</v>
      </c>
      <c r="D20" s="86">
        <v>116</v>
      </c>
      <c r="E20" s="86">
        <v>420</v>
      </c>
      <c r="F20" s="116"/>
      <c r="G20" s="116"/>
      <c r="H20" s="67">
        <f t="shared" si="4"/>
        <v>116</v>
      </c>
      <c r="I20" s="67">
        <f t="shared" si="5"/>
        <v>420</v>
      </c>
      <c r="J20" s="121"/>
      <c r="K20" s="130"/>
      <c r="L20" s="116"/>
    </row>
    <row r="21" spans="1:14" ht="21.75" customHeight="1" x14ac:dyDescent="0.25">
      <c r="A21" s="119"/>
      <c r="B21" s="122"/>
      <c r="C21" s="85" t="s">
        <v>15</v>
      </c>
      <c r="D21" s="86">
        <v>133</v>
      </c>
      <c r="E21" s="86">
        <v>355</v>
      </c>
      <c r="F21" s="116"/>
      <c r="G21" s="116"/>
      <c r="H21" s="67">
        <f t="shared" si="4"/>
        <v>133</v>
      </c>
      <c r="I21" s="67">
        <f t="shared" si="5"/>
        <v>355</v>
      </c>
      <c r="J21" s="121"/>
      <c r="K21" s="130"/>
      <c r="L21" s="116"/>
    </row>
    <row r="22" spans="1:14" ht="35.25" customHeight="1" x14ac:dyDescent="0.25">
      <c r="A22" s="88">
        <f>COUNTA($A$5:A21)</f>
        <v>5</v>
      </c>
      <c r="B22" s="87" t="s">
        <v>120</v>
      </c>
      <c r="C22" s="85" t="s">
        <v>23</v>
      </c>
      <c r="D22" s="86">
        <v>26</v>
      </c>
      <c r="E22" s="86">
        <v>110</v>
      </c>
      <c r="F22" s="116"/>
      <c r="G22" s="116"/>
      <c r="H22" s="67">
        <f t="shared" si="4"/>
        <v>26</v>
      </c>
      <c r="I22" s="67">
        <f t="shared" si="5"/>
        <v>110</v>
      </c>
      <c r="J22" s="121"/>
      <c r="K22" s="130"/>
      <c r="L22" s="116"/>
    </row>
    <row r="23" spans="1:14" ht="35.25" customHeight="1" x14ac:dyDescent="0.25">
      <c r="A23" s="88">
        <f>COUNTA($A$5:A22)</f>
        <v>6</v>
      </c>
      <c r="B23" s="87" t="s">
        <v>121</v>
      </c>
      <c r="C23" s="85" t="s">
        <v>26</v>
      </c>
      <c r="D23" s="86">
        <v>63</v>
      </c>
      <c r="E23" s="86">
        <v>189</v>
      </c>
      <c r="F23" s="116"/>
      <c r="G23" s="116"/>
      <c r="H23" s="67">
        <f t="shared" si="4"/>
        <v>63</v>
      </c>
      <c r="I23" s="67">
        <f t="shared" si="5"/>
        <v>189</v>
      </c>
      <c r="J23" s="121"/>
      <c r="K23" s="130"/>
      <c r="L23" s="116"/>
      <c r="N23" s="90"/>
    </row>
    <row r="24" spans="1:14" ht="21.75" customHeight="1" x14ac:dyDescent="0.25">
      <c r="A24" s="88"/>
      <c r="B24" s="116" t="s">
        <v>103</v>
      </c>
      <c r="C24" s="116"/>
      <c r="D24" s="52">
        <f>SUM(D19:D23)</f>
        <v>463</v>
      </c>
      <c r="E24" s="52">
        <f t="shared" ref="E24:I24" si="6">SUM(E19:E23)</f>
        <v>1530</v>
      </c>
      <c r="F24" s="52"/>
      <c r="G24" s="52">
        <f t="shared" si="6"/>
        <v>0</v>
      </c>
      <c r="H24" s="52">
        <f t="shared" si="6"/>
        <v>463</v>
      </c>
      <c r="I24" s="52">
        <f t="shared" si="6"/>
        <v>1530</v>
      </c>
      <c r="J24" s="121"/>
      <c r="K24" s="114"/>
      <c r="L24" s="52"/>
    </row>
    <row r="25" spans="1:14" s="91" customFormat="1" ht="42" customHeight="1" x14ac:dyDescent="0.25">
      <c r="A25" s="88">
        <f>COUNTA($A$5:A24)</f>
        <v>7</v>
      </c>
      <c r="B25" s="87" t="s">
        <v>122</v>
      </c>
      <c r="C25" s="88" t="s">
        <v>16</v>
      </c>
      <c r="D25" s="86">
        <v>75</v>
      </c>
      <c r="E25" s="86">
        <v>325</v>
      </c>
      <c r="F25" s="128">
        <v>4</v>
      </c>
      <c r="G25" s="116" t="s">
        <v>223</v>
      </c>
      <c r="H25" s="86">
        <f>D25</f>
        <v>75</v>
      </c>
      <c r="I25" s="86">
        <f>E25</f>
        <v>325</v>
      </c>
      <c r="J25" s="121">
        <v>0.49</v>
      </c>
      <c r="K25" s="117" t="s">
        <v>152</v>
      </c>
      <c r="L25" s="134" t="s">
        <v>153</v>
      </c>
      <c r="N25" s="92"/>
    </row>
    <row r="26" spans="1:14" s="84" customFormat="1" ht="21" customHeight="1" x14ac:dyDescent="0.25">
      <c r="A26" s="119">
        <f>COUNTA($A$5:A25)</f>
        <v>8</v>
      </c>
      <c r="B26" s="122" t="s">
        <v>123</v>
      </c>
      <c r="C26" s="85" t="s">
        <v>23</v>
      </c>
      <c r="D26" s="67">
        <v>4</v>
      </c>
      <c r="E26" s="86">
        <v>15</v>
      </c>
      <c r="F26" s="128"/>
      <c r="G26" s="116"/>
      <c r="H26" s="86">
        <f t="shared" ref="H26:H32" si="7">D26</f>
        <v>4</v>
      </c>
      <c r="I26" s="86">
        <f t="shared" ref="I26:I32" si="8">E26</f>
        <v>15</v>
      </c>
      <c r="J26" s="121"/>
      <c r="K26" s="117"/>
      <c r="L26" s="135"/>
    </row>
    <row r="27" spans="1:14" s="84" customFormat="1" ht="21" customHeight="1" x14ac:dyDescent="0.25">
      <c r="A27" s="119"/>
      <c r="B27" s="122"/>
      <c r="C27" s="85" t="s">
        <v>25</v>
      </c>
      <c r="D27" s="67">
        <v>99</v>
      </c>
      <c r="E27" s="86">
        <v>452</v>
      </c>
      <c r="F27" s="128"/>
      <c r="G27" s="116"/>
      <c r="H27" s="86">
        <f t="shared" si="7"/>
        <v>99</v>
      </c>
      <c r="I27" s="86">
        <f t="shared" si="8"/>
        <v>452</v>
      </c>
      <c r="J27" s="121"/>
      <c r="K27" s="117"/>
      <c r="L27" s="135"/>
      <c r="N27" s="93"/>
    </row>
    <row r="28" spans="1:14" s="84" customFormat="1" ht="36" customHeight="1" x14ac:dyDescent="0.25">
      <c r="A28" s="88">
        <f>COUNTA($A$5:A27)</f>
        <v>9</v>
      </c>
      <c r="B28" s="87" t="s">
        <v>121</v>
      </c>
      <c r="C28" s="85" t="s">
        <v>26</v>
      </c>
      <c r="D28" s="67">
        <v>40</v>
      </c>
      <c r="E28" s="86">
        <v>168</v>
      </c>
      <c r="F28" s="128"/>
      <c r="G28" s="116"/>
      <c r="H28" s="86">
        <f t="shared" si="7"/>
        <v>40</v>
      </c>
      <c r="I28" s="86">
        <f t="shared" si="8"/>
        <v>168</v>
      </c>
      <c r="J28" s="121"/>
      <c r="K28" s="117"/>
      <c r="L28" s="135"/>
      <c r="N28" s="93"/>
    </row>
    <row r="29" spans="1:14" s="84" customFormat="1" ht="21" customHeight="1" x14ac:dyDescent="0.25">
      <c r="A29" s="119">
        <f>COUNTA($A$5:A28)</f>
        <v>10</v>
      </c>
      <c r="B29" s="122" t="s">
        <v>121</v>
      </c>
      <c r="C29" s="85" t="s">
        <v>27</v>
      </c>
      <c r="D29" s="67">
        <v>153</v>
      </c>
      <c r="E29" s="86">
        <v>595</v>
      </c>
      <c r="F29" s="128"/>
      <c r="G29" s="116"/>
      <c r="H29" s="86">
        <f t="shared" si="7"/>
        <v>153</v>
      </c>
      <c r="I29" s="86">
        <f t="shared" si="8"/>
        <v>595</v>
      </c>
      <c r="J29" s="121"/>
      <c r="K29" s="117"/>
      <c r="L29" s="135"/>
      <c r="N29" s="93"/>
    </row>
    <row r="30" spans="1:14" s="84" customFormat="1" ht="21" customHeight="1" x14ac:dyDescent="0.25">
      <c r="A30" s="119"/>
      <c r="B30" s="122"/>
      <c r="C30" s="85" t="s">
        <v>28</v>
      </c>
      <c r="D30" s="67">
        <v>161</v>
      </c>
      <c r="E30" s="86">
        <v>624</v>
      </c>
      <c r="F30" s="128"/>
      <c r="G30" s="116"/>
      <c r="H30" s="86">
        <f t="shared" si="7"/>
        <v>161</v>
      </c>
      <c r="I30" s="86">
        <f t="shared" si="8"/>
        <v>624</v>
      </c>
      <c r="J30" s="121"/>
      <c r="K30" s="117"/>
      <c r="L30" s="135"/>
    </row>
    <row r="31" spans="1:14" s="84" customFormat="1" ht="21" customHeight="1" x14ac:dyDescent="0.25">
      <c r="A31" s="119">
        <f>COUNTA($A$5:A30)</f>
        <v>11</v>
      </c>
      <c r="B31" s="122" t="s">
        <v>133</v>
      </c>
      <c r="C31" s="85" t="s">
        <v>29</v>
      </c>
      <c r="D31" s="67">
        <v>85</v>
      </c>
      <c r="E31" s="86">
        <v>431</v>
      </c>
      <c r="F31" s="128"/>
      <c r="G31" s="116"/>
      <c r="H31" s="86">
        <f t="shared" si="7"/>
        <v>85</v>
      </c>
      <c r="I31" s="86">
        <f t="shared" si="8"/>
        <v>431</v>
      </c>
      <c r="J31" s="121"/>
      <c r="K31" s="117"/>
      <c r="L31" s="135"/>
    </row>
    <row r="32" spans="1:14" s="84" customFormat="1" ht="21" customHeight="1" x14ac:dyDescent="0.25">
      <c r="A32" s="119"/>
      <c r="B32" s="122"/>
      <c r="C32" s="85" t="s">
        <v>30</v>
      </c>
      <c r="D32" s="67">
        <f>132+2</f>
        <v>134</v>
      </c>
      <c r="E32" s="86">
        <f>515+2</f>
        <v>517</v>
      </c>
      <c r="F32" s="128"/>
      <c r="G32" s="116"/>
      <c r="H32" s="86">
        <f t="shared" si="7"/>
        <v>134</v>
      </c>
      <c r="I32" s="86">
        <f t="shared" si="8"/>
        <v>517</v>
      </c>
      <c r="J32" s="121"/>
      <c r="K32" s="117"/>
      <c r="L32" s="135"/>
    </row>
    <row r="33" spans="1:12" s="95" customFormat="1" ht="21" customHeight="1" x14ac:dyDescent="0.25">
      <c r="A33" s="87"/>
      <c r="B33" s="116" t="s">
        <v>103</v>
      </c>
      <c r="C33" s="116"/>
      <c r="D33" s="82">
        <f>SUM(D25:D32)</f>
        <v>751</v>
      </c>
      <c r="E33" s="82">
        <f t="shared" ref="E33" si="9">SUM(E25:E32)</f>
        <v>3127</v>
      </c>
      <c r="F33" s="82"/>
      <c r="G33" s="94"/>
      <c r="H33" s="82">
        <f t="shared" ref="H33:I33" si="10">SUM(H25:H32)</f>
        <v>751</v>
      </c>
      <c r="I33" s="82">
        <f t="shared" si="10"/>
        <v>3127</v>
      </c>
      <c r="J33" s="121"/>
      <c r="K33" s="117"/>
      <c r="L33" s="135"/>
    </row>
    <row r="34" spans="1:12" s="84" customFormat="1" ht="27.75" customHeight="1" x14ac:dyDescent="0.25">
      <c r="A34" s="88">
        <f>COUNTA($A$5:A33)</f>
        <v>12</v>
      </c>
      <c r="B34" s="87" t="s">
        <v>120</v>
      </c>
      <c r="C34" s="85" t="s">
        <v>23</v>
      </c>
      <c r="D34" s="67">
        <v>40</v>
      </c>
      <c r="E34" s="67">
        <v>180</v>
      </c>
      <c r="F34" s="128">
        <v>5</v>
      </c>
      <c r="G34" s="128" t="s">
        <v>224</v>
      </c>
      <c r="H34" s="67">
        <f>D34</f>
        <v>40</v>
      </c>
      <c r="I34" s="67">
        <f>E34</f>
        <v>180</v>
      </c>
      <c r="J34" s="120">
        <v>0.62000000000000011</v>
      </c>
      <c r="K34" s="117" t="s">
        <v>172</v>
      </c>
      <c r="L34" s="132" t="s">
        <v>247</v>
      </c>
    </row>
    <row r="35" spans="1:12" s="84" customFormat="1" ht="21" customHeight="1" x14ac:dyDescent="0.25">
      <c r="A35" s="119">
        <f>COUNTA($A$5:A34)</f>
        <v>13</v>
      </c>
      <c r="B35" s="122" t="s">
        <v>124</v>
      </c>
      <c r="C35" s="85" t="s">
        <v>31</v>
      </c>
      <c r="D35" s="67">
        <v>73</v>
      </c>
      <c r="E35" s="86">
        <v>296</v>
      </c>
      <c r="F35" s="128"/>
      <c r="G35" s="128"/>
      <c r="H35" s="67">
        <f t="shared" ref="H35:H40" si="11">D35</f>
        <v>73</v>
      </c>
      <c r="I35" s="67">
        <f t="shared" ref="I35:I40" si="12">E35</f>
        <v>296</v>
      </c>
      <c r="J35" s="120"/>
      <c r="K35" s="117"/>
      <c r="L35" s="132"/>
    </row>
    <row r="36" spans="1:12" ht="21" customHeight="1" x14ac:dyDescent="0.25">
      <c r="A36" s="119"/>
      <c r="B36" s="122"/>
      <c r="C36" s="85" t="s">
        <v>32</v>
      </c>
      <c r="D36" s="67">
        <v>81</v>
      </c>
      <c r="E36" s="86">
        <v>358</v>
      </c>
      <c r="F36" s="128"/>
      <c r="G36" s="128"/>
      <c r="H36" s="67">
        <f t="shared" si="11"/>
        <v>81</v>
      </c>
      <c r="I36" s="67">
        <f t="shared" si="12"/>
        <v>358</v>
      </c>
      <c r="J36" s="120"/>
      <c r="K36" s="117"/>
      <c r="L36" s="132"/>
    </row>
    <row r="37" spans="1:12" ht="21" customHeight="1" x14ac:dyDescent="0.25">
      <c r="A37" s="88">
        <f>COUNTA($A$5:A36)</f>
        <v>14</v>
      </c>
      <c r="B37" s="87" t="s">
        <v>125</v>
      </c>
      <c r="C37" s="85" t="s">
        <v>33</v>
      </c>
      <c r="D37" s="67">
        <v>87</v>
      </c>
      <c r="E37" s="86">
        <v>387</v>
      </c>
      <c r="F37" s="128"/>
      <c r="G37" s="128"/>
      <c r="H37" s="67">
        <f t="shared" si="11"/>
        <v>87</v>
      </c>
      <c r="I37" s="67">
        <f t="shared" si="12"/>
        <v>387</v>
      </c>
      <c r="J37" s="120"/>
      <c r="K37" s="117"/>
      <c r="L37" s="132"/>
    </row>
    <row r="38" spans="1:12" ht="21" customHeight="1" x14ac:dyDescent="0.25">
      <c r="A38" s="119">
        <f>COUNTA($A$5:A37)</f>
        <v>15</v>
      </c>
      <c r="B38" s="122" t="s">
        <v>126</v>
      </c>
      <c r="C38" s="85" t="s">
        <v>34</v>
      </c>
      <c r="D38" s="67">
        <v>66</v>
      </c>
      <c r="E38" s="86">
        <v>286</v>
      </c>
      <c r="F38" s="128"/>
      <c r="G38" s="128"/>
      <c r="H38" s="67">
        <f t="shared" si="11"/>
        <v>66</v>
      </c>
      <c r="I38" s="67">
        <f t="shared" si="12"/>
        <v>286</v>
      </c>
      <c r="J38" s="120"/>
      <c r="K38" s="117"/>
      <c r="L38" s="132"/>
    </row>
    <row r="39" spans="1:12" ht="21" customHeight="1" x14ac:dyDescent="0.25">
      <c r="A39" s="119"/>
      <c r="B39" s="122"/>
      <c r="C39" s="85" t="s">
        <v>35</v>
      </c>
      <c r="D39" s="67">
        <v>70</v>
      </c>
      <c r="E39" s="86">
        <v>354</v>
      </c>
      <c r="F39" s="128"/>
      <c r="G39" s="128"/>
      <c r="H39" s="67">
        <f t="shared" si="11"/>
        <v>70</v>
      </c>
      <c r="I39" s="67">
        <f t="shared" si="12"/>
        <v>354</v>
      </c>
      <c r="J39" s="120"/>
      <c r="K39" s="117"/>
      <c r="L39" s="132"/>
    </row>
    <row r="40" spans="1:12" ht="21" customHeight="1" x14ac:dyDescent="0.25">
      <c r="A40" s="88">
        <f>COUNTA($A$5:A39)</f>
        <v>16</v>
      </c>
      <c r="B40" s="87" t="s">
        <v>127</v>
      </c>
      <c r="C40" s="85" t="s">
        <v>36</v>
      </c>
      <c r="D40" s="67">
        <v>191</v>
      </c>
      <c r="E40" s="86">
        <v>892</v>
      </c>
      <c r="F40" s="128"/>
      <c r="G40" s="128"/>
      <c r="H40" s="67">
        <f t="shared" si="11"/>
        <v>191</v>
      </c>
      <c r="I40" s="67">
        <f t="shared" si="12"/>
        <v>892</v>
      </c>
      <c r="J40" s="120"/>
      <c r="K40" s="117"/>
      <c r="L40" s="132"/>
    </row>
    <row r="41" spans="1:12" s="96" customFormat="1" ht="37.5" customHeight="1" x14ac:dyDescent="0.25">
      <c r="A41" s="87"/>
      <c r="B41" s="116" t="s">
        <v>103</v>
      </c>
      <c r="C41" s="116"/>
      <c r="D41" s="82">
        <f>SUM(D34:D40)</f>
        <v>608</v>
      </c>
      <c r="E41" s="82">
        <f>SUM(E34:E40)</f>
        <v>2753</v>
      </c>
      <c r="F41" s="94"/>
      <c r="G41" s="94"/>
      <c r="H41" s="82">
        <f>SUM(H34:H40)</f>
        <v>608</v>
      </c>
      <c r="I41" s="82">
        <f t="shared" ref="I41" si="13">SUM(I34:I40)</f>
        <v>2753</v>
      </c>
      <c r="J41" s="120"/>
      <c r="K41" s="110"/>
      <c r="L41" s="132"/>
    </row>
    <row r="42" spans="1:12" ht="21" customHeight="1" x14ac:dyDescent="0.25">
      <c r="A42" s="119">
        <f>COUNTA($A$5:A41)</f>
        <v>17</v>
      </c>
      <c r="B42" s="122" t="s">
        <v>128</v>
      </c>
      <c r="C42" s="85" t="s">
        <v>0</v>
      </c>
      <c r="D42" s="67">
        <v>65</v>
      </c>
      <c r="E42" s="86">
        <v>272</v>
      </c>
      <c r="F42" s="116">
        <v>6</v>
      </c>
      <c r="G42" s="116" t="s">
        <v>225</v>
      </c>
      <c r="H42" s="67">
        <f>D42</f>
        <v>65</v>
      </c>
      <c r="I42" s="86">
        <f>E42</f>
        <v>272</v>
      </c>
      <c r="J42" s="121">
        <v>0.27</v>
      </c>
      <c r="K42" s="117" t="s">
        <v>239</v>
      </c>
      <c r="L42" s="132" t="s">
        <v>248</v>
      </c>
    </row>
    <row r="43" spans="1:12" ht="21" customHeight="1" x14ac:dyDescent="0.25">
      <c r="A43" s="119"/>
      <c r="B43" s="122"/>
      <c r="C43" s="85" t="s">
        <v>1</v>
      </c>
      <c r="D43" s="67">
        <v>78</v>
      </c>
      <c r="E43" s="86">
        <v>431</v>
      </c>
      <c r="F43" s="116"/>
      <c r="G43" s="116"/>
      <c r="H43" s="67">
        <f t="shared" ref="H43:H48" si="14">D43</f>
        <v>78</v>
      </c>
      <c r="I43" s="86">
        <f t="shared" ref="I43:I48" si="15">E43</f>
        <v>431</v>
      </c>
      <c r="J43" s="121"/>
      <c r="K43" s="117"/>
      <c r="L43" s="133"/>
    </row>
    <row r="44" spans="1:12" ht="21" customHeight="1" x14ac:dyDescent="0.25">
      <c r="A44" s="119">
        <f>COUNTA($A$5:A43)</f>
        <v>18</v>
      </c>
      <c r="B44" s="122" t="s">
        <v>135</v>
      </c>
      <c r="C44" s="85" t="s">
        <v>47</v>
      </c>
      <c r="D44" s="86">
        <f>72+3</f>
        <v>75</v>
      </c>
      <c r="E44" s="86">
        <f>349+3</f>
        <v>352</v>
      </c>
      <c r="F44" s="116"/>
      <c r="G44" s="116"/>
      <c r="H44" s="67">
        <f t="shared" si="14"/>
        <v>75</v>
      </c>
      <c r="I44" s="86">
        <f t="shared" si="15"/>
        <v>352</v>
      </c>
      <c r="J44" s="121"/>
      <c r="K44" s="117"/>
      <c r="L44" s="133"/>
    </row>
    <row r="45" spans="1:12" ht="21" customHeight="1" x14ac:dyDescent="0.25">
      <c r="A45" s="119"/>
      <c r="B45" s="122"/>
      <c r="C45" s="85" t="s">
        <v>48</v>
      </c>
      <c r="D45" s="86">
        <f>70+2</f>
        <v>72</v>
      </c>
      <c r="E45" s="86">
        <f>320+3</f>
        <v>323</v>
      </c>
      <c r="F45" s="116"/>
      <c r="G45" s="116"/>
      <c r="H45" s="67">
        <f t="shared" si="14"/>
        <v>72</v>
      </c>
      <c r="I45" s="86">
        <f t="shared" si="15"/>
        <v>323</v>
      </c>
      <c r="J45" s="121"/>
      <c r="K45" s="117"/>
      <c r="L45" s="133"/>
    </row>
    <row r="46" spans="1:12" ht="21.75" customHeight="1" x14ac:dyDescent="0.25">
      <c r="A46" s="119"/>
      <c r="B46" s="122"/>
      <c r="C46" s="87" t="s">
        <v>49</v>
      </c>
      <c r="D46" s="67">
        <f>40+12</f>
        <v>52</v>
      </c>
      <c r="E46" s="86">
        <f>150+14</f>
        <v>164</v>
      </c>
      <c r="F46" s="116"/>
      <c r="G46" s="116"/>
      <c r="H46" s="67">
        <f t="shared" si="14"/>
        <v>52</v>
      </c>
      <c r="I46" s="86">
        <f t="shared" si="15"/>
        <v>164</v>
      </c>
      <c r="J46" s="121"/>
      <c r="K46" s="117"/>
      <c r="L46" s="133"/>
    </row>
    <row r="47" spans="1:12" ht="21" customHeight="1" x14ac:dyDescent="0.25">
      <c r="A47" s="119">
        <f>COUNTA($A$5:A46)</f>
        <v>19</v>
      </c>
      <c r="B47" s="122" t="s">
        <v>136</v>
      </c>
      <c r="C47" s="85" t="s">
        <v>50</v>
      </c>
      <c r="D47" s="86">
        <f>30+28</f>
        <v>58</v>
      </c>
      <c r="E47" s="86">
        <f>139+41</f>
        <v>180</v>
      </c>
      <c r="F47" s="116"/>
      <c r="G47" s="116"/>
      <c r="H47" s="67">
        <f t="shared" si="14"/>
        <v>58</v>
      </c>
      <c r="I47" s="86">
        <f t="shared" si="15"/>
        <v>180</v>
      </c>
      <c r="J47" s="121"/>
      <c r="K47" s="117"/>
      <c r="L47" s="133"/>
    </row>
    <row r="48" spans="1:12" x14ac:dyDescent="0.25">
      <c r="A48" s="119"/>
      <c r="B48" s="122"/>
      <c r="C48" s="85" t="s">
        <v>51</v>
      </c>
      <c r="D48" s="86">
        <v>60</v>
      </c>
      <c r="E48" s="86">
        <f>257+24</f>
        <v>281</v>
      </c>
      <c r="F48" s="116"/>
      <c r="G48" s="116"/>
      <c r="H48" s="67">
        <f t="shared" si="14"/>
        <v>60</v>
      </c>
      <c r="I48" s="86">
        <f t="shared" si="15"/>
        <v>281</v>
      </c>
      <c r="J48" s="121"/>
      <c r="K48" s="117"/>
      <c r="L48" s="133"/>
    </row>
    <row r="49" spans="1:13" s="96" customFormat="1" ht="21" customHeight="1" x14ac:dyDescent="0.25">
      <c r="A49" s="87"/>
      <c r="B49" s="116" t="s">
        <v>103</v>
      </c>
      <c r="C49" s="116"/>
      <c r="D49" s="82">
        <f>SUM(D42:D48)</f>
        <v>460</v>
      </c>
      <c r="E49" s="82">
        <f>SUM(E42:E48)</f>
        <v>2003</v>
      </c>
      <c r="F49" s="94"/>
      <c r="G49" s="94"/>
      <c r="H49" s="82">
        <f>SUM(H42:H48)</f>
        <v>460</v>
      </c>
      <c r="I49" s="82">
        <f>SUM(I42:I48)</f>
        <v>2003</v>
      </c>
      <c r="J49" s="107"/>
      <c r="K49" s="110"/>
      <c r="L49" s="97"/>
    </row>
    <row r="50" spans="1:13" ht="23.25" customHeight="1" x14ac:dyDescent="0.25">
      <c r="A50" s="119">
        <f>COUNTA($A$5:A49)</f>
        <v>20</v>
      </c>
      <c r="B50" s="122" t="s">
        <v>129</v>
      </c>
      <c r="C50" s="87" t="s">
        <v>17</v>
      </c>
      <c r="D50" s="98">
        <v>152</v>
      </c>
      <c r="E50" s="86">
        <v>451</v>
      </c>
      <c r="F50" s="116">
        <v>7</v>
      </c>
      <c r="G50" s="116" t="s">
        <v>226</v>
      </c>
      <c r="H50" s="98">
        <f>D50</f>
        <v>152</v>
      </c>
      <c r="I50" s="86">
        <f>E50</f>
        <v>451</v>
      </c>
      <c r="J50" s="121">
        <v>0.2</v>
      </c>
      <c r="K50" s="117" t="s">
        <v>154</v>
      </c>
      <c r="L50" s="134" t="s">
        <v>249</v>
      </c>
    </row>
    <row r="51" spans="1:13" ht="21" customHeight="1" x14ac:dyDescent="0.25">
      <c r="A51" s="119"/>
      <c r="B51" s="122"/>
      <c r="C51" s="85" t="s">
        <v>18</v>
      </c>
      <c r="D51" s="98">
        <v>179</v>
      </c>
      <c r="E51" s="86">
        <v>522</v>
      </c>
      <c r="F51" s="116"/>
      <c r="G51" s="116"/>
      <c r="H51" s="98">
        <f t="shared" ref="H51:H55" si="16">D51</f>
        <v>179</v>
      </c>
      <c r="I51" s="86">
        <f t="shared" ref="I51:I55" si="17">E51</f>
        <v>522</v>
      </c>
      <c r="J51" s="121"/>
      <c r="K51" s="117"/>
      <c r="L51" s="133"/>
    </row>
    <row r="52" spans="1:13" ht="21" customHeight="1" x14ac:dyDescent="0.25">
      <c r="A52" s="119"/>
      <c r="B52" s="122"/>
      <c r="C52" s="85" t="s">
        <v>19</v>
      </c>
      <c r="D52" s="98">
        <v>83</v>
      </c>
      <c r="E52" s="86">
        <v>289</v>
      </c>
      <c r="F52" s="116"/>
      <c r="G52" s="116"/>
      <c r="H52" s="98">
        <f t="shared" si="16"/>
        <v>83</v>
      </c>
      <c r="I52" s="86">
        <f t="shared" si="17"/>
        <v>289</v>
      </c>
      <c r="J52" s="121"/>
      <c r="K52" s="117"/>
      <c r="L52" s="133"/>
    </row>
    <row r="53" spans="1:13" ht="21" customHeight="1" x14ac:dyDescent="0.25">
      <c r="A53" s="119">
        <f>COUNTA($A$5:A52)</f>
        <v>21</v>
      </c>
      <c r="B53" s="122" t="s">
        <v>134</v>
      </c>
      <c r="C53" s="85" t="s">
        <v>44</v>
      </c>
      <c r="D53" s="98">
        <v>65</v>
      </c>
      <c r="E53" s="86">
        <v>248</v>
      </c>
      <c r="F53" s="116"/>
      <c r="G53" s="116"/>
      <c r="H53" s="98">
        <f t="shared" si="16"/>
        <v>65</v>
      </c>
      <c r="I53" s="86">
        <f t="shared" si="17"/>
        <v>248</v>
      </c>
      <c r="J53" s="121"/>
      <c r="K53" s="117"/>
      <c r="L53" s="133"/>
    </row>
    <row r="54" spans="1:13" ht="21" customHeight="1" x14ac:dyDescent="0.25">
      <c r="A54" s="119"/>
      <c r="B54" s="122"/>
      <c r="C54" s="85" t="s">
        <v>45</v>
      </c>
      <c r="D54" s="98">
        <v>110</v>
      </c>
      <c r="E54" s="86">
        <v>495</v>
      </c>
      <c r="F54" s="116"/>
      <c r="G54" s="116"/>
      <c r="H54" s="98">
        <f t="shared" si="16"/>
        <v>110</v>
      </c>
      <c r="I54" s="86">
        <f t="shared" si="17"/>
        <v>495</v>
      </c>
      <c r="J54" s="121"/>
      <c r="K54" s="117"/>
      <c r="L54" s="133"/>
    </row>
    <row r="55" spans="1:13" ht="44.25" customHeight="1" x14ac:dyDescent="0.25">
      <c r="A55" s="88">
        <f>COUNTA($A$5:A54)</f>
        <v>22</v>
      </c>
      <c r="B55" s="87" t="s">
        <v>135</v>
      </c>
      <c r="C55" s="88" t="s">
        <v>49</v>
      </c>
      <c r="D55" s="86">
        <v>25</v>
      </c>
      <c r="E55" s="86">
        <v>125</v>
      </c>
      <c r="F55" s="116"/>
      <c r="G55" s="116"/>
      <c r="H55" s="86">
        <f t="shared" si="16"/>
        <v>25</v>
      </c>
      <c r="I55" s="86">
        <f t="shared" si="17"/>
        <v>125</v>
      </c>
      <c r="J55" s="121"/>
      <c r="K55" s="117"/>
      <c r="L55" s="133"/>
    </row>
    <row r="56" spans="1:13" s="96" customFormat="1" ht="21" customHeight="1" x14ac:dyDescent="0.25">
      <c r="A56" s="87"/>
      <c r="B56" s="116" t="s">
        <v>103</v>
      </c>
      <c r="C56" s="116"/>
      <c r="D56" s="82">
        <f>SUM(D50:D55)</f>
        <v>614</v>
      </c>
      <c r="E56" s="82">
        <f>SUM(E50:E55)</f>
        <v>2130</v>
      </c>
      <c r="F56" s="94"/>
      <c r="G56" s="94"/>
      <c r="H56" s="82">
        <f t="shared" ref="H56:I56" si="18">SUM(H50:H55)</f>
        <v>614</v>
      </c>
      <c r="I56" s="82">
        <f t="shared" si="18"/>
        <v>2130</v>
      </c>
      <c r="J56" s="121"/>
      <c r="K56" s="117"/>
      <c r="L56" s="133"/>
    </row>
    <row r="57" spans="1:13" s="96" customFormat="1" ht="21" customHeight="1" x14ac:dyDescent="0.25">
      <c r="A57" s="119">
        <f>COUNTA($A$5:A56)</f>
        <v>23</v>
      </c>
      <c r="B57" s="122" t="s">
        <v>137</v>
      </c>
      <c r="C57" s="85" t="s">
        <v>42</v>
      </c>
      <c r="D57" s="67">
        <v>40</v>
      </c>
      <c r="E57" s="67">
        <v>182</v>
      </c>
      <c r="F57" s="94"/>
      <c r="G57" s="94"/>
      <c r="H57" s="67">
        <f>D57</f>
        <v>40</v>
      </c>
      <c r="I57" s="67">
        <f>E57</f>
        <v>182</v>
      </c>
      <c r="J57" s="120">
        <v>0.71</v>
      </c>
      <c r="K57" s="117" t="s">
        <v>179</v>
      </c>
      <c r="L57" s="136" t="s">
        <v>166</v>
      </c>
    </row>
    <row r="58" spans="1:13" ht="21" customHeight="1" x14ac:dyDescent="0.25">
      <c r="A58" s="119"/>
      <c r="B58" s="122"/>
      <c r="C58" s="85" t="s">
        <v>43</v>
      </c>
      <c r="D58" s="86">
        <v>115</v>
      </c>
      <c r="E58" s="86">
        <v>508</v>
      </c>
      <c r="F58" s="116">
        <v>8</v>
      </c>
      <c r="G58" s="116" t="s">
        <v>227</v>
      </c>
      <c r="H58" s="67">
        <f t="shared" ref="H58:H66" si="19">D58</f>
        <v>115</v>
      </c>
      <c r="I58" s="67">
        <f t="shared" ref="I58:I66" si="20">E58</f>
        <v>508</v>
      </c>
      <c r="J58" s="120"/>
      <c r="K58" s="117"/>
      <c r="L58" s="136"/>
      <c r="M58" s="90"/>
    </row>
    <row r="59" spans="1:13" ht="21" customHeight="1" x14ac:dyDescent="0.25">
      <c r="A59" s="119">
        <f>COUNTA($A$5:A58)</f>
        <v>24</v>
      </c>
      <c r="B59" s="119" t="s">
        <v>138</v>
      </c>
      <c r="C59" s="85" t="s">
        <v>59</v>
      </c>
      <c r="D59" s="98">
        <v>95</v>
      </c>
      <c r="E59" s="86">
        <v>431</v>
      </c>
      <c r="F59" s="116"/>
      <c r="G59" s="116"/>
      <c r="H59" s="67">
        <f t="shared" si="19"/>
        <v>95</v>
      </c>
      <c r="I59" s="67">
        <f t="shared" si="20"/>
        <v>431</v>
      </c>
      <c r="J59" s="120"/>
      <c r="K59" s="117"/>
      <c r="L59" s="136"/>
    </row>
    <row r="60" spans="1:13" ht="21" customHeight="1" x14ac:dyDescent="0.25">
      <c r="A60" s="119"/>
      <c r="B60" s="119"/>
      <c r="C60" s="85" t="s">
        <v>60</v>
      </c>
      <c r="D60" s="98">
        <v>66</v>
      </c>
      <c r="E60" s="86">
        <v>308</v>
      </c>
      <c r="F60" s="116"/>
      <c r="G60" s="116"/>
      <c r="H60" s="67">
        <f t="shared" si="19"/>
        <v>66</v>
      </c>
      <c r="I60" s="67">
        <f t="shared" si="20"/>
        <v>308</v>
      </c>
      <c r="J60" s="120"/>
      <c r="K60" s="117"/>
      <c r="L60" s="136"/>
    </row>
    <row r="61" spans="1:13" ht="21" customHeight="1" x14ac:dyDescent="0.25">
      <c r="A61" s="119"/>
      <c r="B61" s="119"/>
      <c r="C61" s="85" t="s">
        <v>61</v>
      </c>
      <c r="D61" s="98">
        <v>124</v>
      </c>
      <c r="E61" s="86">
        <v>619</v>
      </c>
      <c r="F61" s="116"/>
      <c r="G61" s="116"/>
      <c r="H61" s="67">
        <f t="shared" si="19"/>
        <v>124</v>
      </c>
      <c r="I61" s="67">
        <f t="shared" si="20"/>
        <v>619</v>
      </c>
      <c r="J61" s="120"/>
      <c r="K61" s="117"/>
      <c r="L61" s="136"/>
      <c r="M61" s="90"/>
    </row>
    <row r="62" spans="1:13" ht="21" customHeight="1" x14ac:dyDescent="0.25">
      <c r="A62" s="119"/>
      <c r="B62" s="119"/>
      <c r="C62" s="85" t="s">
        <v>62</v>
      </c>
      <c r="D62" s="98">
        <v>109</v>
      </c>
      <c r="E62" s="86">
        <v>505</v>
      </c>
      <c r="F62" s="116"/>
      <c r="G62" s="116"/>
      <c r="H62" s="67">
        <f t="shared" si="19"/>
        <v>109</v>
      </c>
      <c r="I62" s="67">
        <f t="shared" si="20"/>
        <v>505</v>
      </c>
      <c r="J62" s="120"/>
      <c r="K62" s="117"/>
      <c r="L62" s="136"/>
    </row>
    <row r="63" spans="1:13" ht="21" customHeight="1" x14ac:dyDescent="0.25">
      <c r="A63" s="119">
        <f>COUNTA($A$5:A62)</f>
        <v>25</v>
      </c>
      <c r="B63" s="122" t="s">
        <v>134</v>
      </c>
      <c r="C63" s="85" t="s">
        <v>46</v>
      </c>
      <c r="D63" s="67">
        <v>83</v>
      </c>
      <c r="E63" s="86">
        <v>347</v>
      </c>
      <c r="F63" s="116"/>
      <c r="G63" s="116"/>
      <c r="H63" s="67">
        <f>D63</f>
        <v>83</v>
      </c>
      <c r="I63" s="67">
        <f t="shared" si="20"/>
        <v>347</v>
      </c>
      <c r="J63" s="120"/>
      <c r="K63" s="117"/>
      <c r="L63" s="136"/>
    </row>
    <row r="64" spans="1:13" ht="21" customHeight="1" x14ac:dyDescent="0.25">
      <c r="A64" s="119"/>
      <c r="B64" s="122"/>
      <c r="C64" s="85" t="s">
        <v>44</v>
      </c>
      <c r="D64" s="98">
        <v>65</v>
      </c>
      <c r="E64" s="86">
        <v>248</v>
      </c>
      <c r="F64" s="116"/>
      <c r="G64" s="116"/>
      <c r="H64" s="67">
        <f t="shared" si="19"/>
        <v>65</v>
      </c>
      <c r="I64" s="67">
        <f t="shared" si="20"/>
        <v>248</v>
      </c>
      <c r="J64" s="120"/>
      <c r="K64" s="117"/>
      <c r="L64" s="136"/>
    </row>
    <row r="65" spans="1:12" ht="21" customHeight="1" x14ac:dyDescent="0.25">
      <c r="A65" s="119">
        <f>COUNTA($A$5:A64)</f>
        <v>26</v>
      </c>
      <c r="B65" s="119" t="s">
        <v>136</v>
      </c>
      <c r="C65" s="85" t="s">
        <v>50</v>
      </c>
      <c r="D65" s="98">
        <v>56</v>
      </c>
      <c r="E65" s="86">
        <v>280</v>
      </c>
      <c r="F65" s="116"/>
      <c r="G65" s="116"/>
      <c r="H65" s="67">
        <f t="shared" si="19"/>
        <v>56</v>
      </c>
      <c r="I65" s="67">
        <f t="shared" si="20"/>
        <v>280</v>
      </c>
      <c r="J65" s="120"/>
      <c r="K65" s="117"/>
      <c r="L65" s="136"/>
    </row>
    <row r="66" spans="1:12" ht="21" customHeight="1" x14ac:dyDescent="0.25">
      <c r="A66" s="119"/>
      <c r="B66" s="119"/>
      <c r="C66" s="85" t="s">
        <v>51</v>
      </c>
      <c r="D66" s="98">
        <v>14</v>
      </c>
      <c r="E66" s="86">
        <v>73</v>
      </c>
      <c r="F66" s="116"/>
      <c r="G66" s="116"/>
      <c r="H66" s="67">
        <f t="shared" si="19"/>
        <v>14</v>
      </c>
      <c r="I66" s="67">
        <f t="shared" si="20"/>
        <v>73</v>
      </c>
      <c r="J66" s="120"/>
      <c r="K66" s="117"/>
      <c r="L66" s="136"/>
    </row>
    <row r="67" spans="1:12" ht="21" customHeight="1" x14ac:dyDescent="0.25">
      <c r="A67" s="88"/>
      <c r="B67" s="116" t="s">
        <v>103</v>
      </c>
      <c r="C67" s="116"/>
      <c r="D67" s="52">
        <f>SUM(D57:D66)</f>
        <v>767</v>
      </c>
      <c r="E67" s="52">
        <f>SUM(E57:E66)</f>
        <v>3501</v>
      </c>
      <c r="F67" s="99"/>
      <c r="G67" s="99"/>
      <c r="H67" s="52">
        <f>SUM(H57:H66)</f>
        <v>767</v>
      </c>
      <c r="I67" s="52">
        <f>SUM(I57:I66)</f>
        <v>3501</v>
      </c>
      <c r="J67" s="120"/>
      <c r="K67" s="117"/>
      <c r="L67" s="136"/>
    </row>
    <row r="68" spans="1:12" ht="31.5" customHeight="1" x14ac:dyDescent="0.25">
      <c r="A68" s="88">
        <f>COUNTA($A$5:A67)</f>
        <v>27</v>
      </c>
      <c r="B68" s="87" t="s">
        <v>129</v>
      </c>
      <c r="C68" s="85" t="s">
        <v>19</v>
      </c>
      <c r="D68" s="67">
        <v>51</v>
      </c>
      <c r="E68" s="67">
        <v>186</v>
      </c>
      <c r="F68" s="129">
        <v>9</v>
      </c>
      <c r="G68" s="128" t="s">
        <v>228</v>
      </c>
      <c r="H68" s="67">
        <f t="shared" ref="H68:H71" si="21">D68</f>
        <v>51</v>
      </c>
      <c r="I68" s="67">
        <f t="shared" ref="I68:I71" si="22">E68</f>
        <v>186</v>
      </c>
      <c r="J68" s="120">
        <v>0.18</v>
      </c>
      <c r="K68" s="117" t="s">
        <v>167</v>
      </c>
      <c r="L68" s="136" t="s">
        <v>169</v>
      </c>
    </row>
    <row r="69" spans="1:12" ht="21" customHeight="1" x14ac:dyDescent="0.25">
      <c r="A69" s="119">
        <f>COUNTA($A$5:A68)</f>
        <v>28</v>
      </c>
      <c r="B69" s="122" t="s">
        <v>130</v>
      </c>
      <c r="C69" s="85" t="s">
        <v>20</v>
      </c>
      <c r="D69" s="98">
        <v>169</v>
      </c>
      <c r="E69" s="86">
        <v>472</v>
      </c>
      <c r="F69" s="129"/>
      <c r="G69" s="129"/>
      <c r="H69" s="67">
        <f t="shared" si="21"/>
        <v>169</v>
      </c>
      <c r="I69" s="67">
        <f t="shared" si="22"/>
        <v>472</v>
      </c>
      <c r="J69" s="120"/>
      <c r="K69" s="117"/>
      <c r="L69" s="136"/>
    </row>
    <row r="70" spans="1:12" ht="21" customHeight="1" x14ac:dyDescent="0.25">
      <c r="A70" s="119"/>
      <c r="B70" s="122"/>
      <c r="C70" s="85" t="s">
        <v>21</v>
      </c>
      <c r="D70" s="98">
        <v>133</v>
      </c>
      <c r="E70" s="86">
        <v>371</v>
      </c>
      <c r="F70" s="129"/>
      <c r="G70" s="129"/>
      <c r="H70" s="67">
        <f t="shared" si="21"/>
        <v>133</v>
      </c>
      <c r="I70" s="67">
        <f t="shared" si="22"/>
        <v>371</v>
      </c>
      <c r="J70" s="120"/>
      <c r="K70" s="117"/>
      <c r="L70" s="136"/>
    </row>
    <row r="71" spans="1:12" ht="21" customHeight="1" x14ac:dyDescent="0.25">
      <c r="A71" s="88">
        <f>COUNTA($A$5:A70)</f>
        <v>29</v>
      </c>
      <c r="B71" s="87" t="s">
        <v>137</v>
      </c>
      <c r="C71" s="85" t="s">
        <v>42</v>
      </c>
      <c r="D71" s="98">
        <v>102</v>
      </c>
      <c r="E71" s="86">
        <v>353</v>
      </c>
      <c r="F71" s="129"/>
      <c r="G71" s="129"/>
      <c r="H71" s="67">
        <f t="shared" si="21"/>
        <v>102</v>
      </c>
      <c r="I71" s="67">
        <f t="shared" si="22"/>
        <v>353</v>
      </c>
      <c r="J71" s="120"/>
      <c r="K71" s="117"/>
      <c r="L71" s="136"/>
    </row>
    <row r="72" spans="1:12" ht="21" customHeight="1" x14ac:dyDescent="0.25">
      <c r="A72" s="88"/>
      <c r="B72" s="116" t="s">
        <v>103</v>
      </c>
      <c r="C72" s="116"/>
      <c r="D72" s="52">
        <f>SUM(D68:D71)</f>
        <v>455</v>
      </c>
      <c r="E72" s="52">
        <f>SUM(E68:E71)</f>
        <v>1382</v>
      </c>
      <c r="F72" s="99"/>
      <c r="G72" s="99"/>
      <c r="H72" s="52">
        <f>SUM(H68:H71)</f>
        <v>455</v>
      </c>
      <c r="I72" s="52">
        <f>SUM(I68:I71)</f>
        <v>1382</v>
      </c>
      <c r="J72" s="120"/>
      <c r="K72" s="117"/>
      <c r="L72" s="136"/>
    </row>
    <row r="73" spans="1:12" ht="30" customHeight="1" x14ac:dyDescent="0.25">
      <c r="A73" s="88">
        <f>COUNTA($A$5:A72)</f>
        <v>30</v>
      </c>
      <c r="B73" s="87" t="s">
        <v>130</v>
      </c>
      <c r="C73" s="88" t="s">
        <v>22</v>
      </c>
      <c r="D73" s="86">
        <v>256</v>
      </c>
      <c r="E73" s="86">
        <v>846</v>
      </c>
      <c r="F73" s="116">
        <v>10</v>
      </c>
      <c r="G73" s="116" t="s">
        <v>229</v>
      </c>
      <c r="H73" s="67">
        <f t="shared" ref="H73:H74" si="23">D73</f>
        <v>256</v>
      </c>
      <c r="I73" s="67">
        <f t="shared" ref="I73:I74" si="24">E73</f>
        <v>846</v>
      </c>
      <c r="J73" s="120">
        <v>0.48</v>
      </c>
      <c r="K73" s="117" t="s">
        <v>178</v>
      </c>
      <c r="L73" s="134" t="s">
        <v>168</v>
      </c>
    </row>
    <row r="74" spans="1:12" s="101" customFormat="1" ht="30.75" customHeight="1" x14ac:dyDescent="0.25">
      <c r="A74" s="88">
        <f>COUNTA($A$5:A73)</f>
        <v>31</v>
      </c>
      <c r="B74" s="87" t="s">
        <v>120</v>
      </c>
      <c r="C74" s="88" t="s">
        <v>24</v>
      </c>
      <c r="D74" s="86">
        <f>166+28+15</f>
        <v>209</v>
      </c>
      <c r="E74" s="86">
        <f>758+69+52</f>
        <v>879</v>
      </c>
      <c r="F74" s="116"/>
      <c r="G74" s="116"/>
      <c r="H74" s="67">
        <f t="shared" si="23"/>
        <v>209</v>
      </c>
      <c r="I74" s="67">
        <f t="shared" si="24"/>
        <v>879</v>
      </c>
      <c r="J74" s="120"/>
      <c r="K74" s="117"/>
      <c r="L74" s="135"/>
    </row>
    <row r="75" spans="1:12" ht="46.5" customHeight="1" x14ac:dyDescent="0.25">
      <c r="A75" s="88"/>
      <c r="B75" s="116" t="s">
        <v>103</v>
      </c>
      <c r="C75" s="116"/>
      <c r="D75" s="102">
        <f>SUM(D73:D74)</f>
        <v>465</v>
      </c>
      <c r="E75" s="102">
        <f>SUM(E73:E74)</f>
        <v>1725</v>
      </c>
      <c r="F75" s="116"/>
      <c r="G75" s="116"/>
      <c r="H75" s="52">
        <f>SUM(H73:H74)</f>
        <v>465</v>
      </c>
      <c r="I75" s="52">
        <f>SUM(I73:I74)</f>
        <v>1725</v>
      </c>
      <c r="J75" s="120"/>
      <c r="K75" s="117"/>
      <c r="L75" s="135"/>
    </row>
    <row r="76" spans="1:12" ht="31.5" customHeight="1" x14ac:dyDescent="0.25">
      <c r="A76" s="88">
        <f>COUNTA($A$5:A75)</f>
        <v>32</v>
      </c>
      <c r="B76" s="87" t="s">
        <v>120</v>
      </c>
      <c r="C76" s="85" t="s">
        <v>23</v>
      </c>
      <c r="D76" s="86">
        <v>55</v>
      </c>
      <c r="E76" s="86">
        <v>249</v>
      </c>
      <c r="F76" s="116">
        <v>11</v>
      </c>
      <c r="G76" s="116" t="s">
        <v>230</v>
      </c>
      <c r="H76" s="86">
        <f>D76</f>
        <v>55</v>
      </c>
      <c r="I76" s="86">
        <f>E76</f>
        <v>249</v>
      </c>
      <c r="J76" s="121">
        <v>0.98</v>
      </c>
      <c r="K76" s="117" t="s">
        <v>177</v>
      </c>
      <c r="L76" s="132" t="s">
        <v>250</v>
      </c>
    </row>
    <row r="77" spans="1:12" ht="21" customHeight="1" x14ac:dyDescent="0.25">
      <c r="A77" s="119">
        <f>COUNTA($A$5:A76)</f>
        <v>33</v>
      </c>
      <c r="B77" s="122" t="s">
        <v>131</v>
      </c>
      <c r="C77" s="85" t="s">
        <v>37</v>
      </c>
      <c r="D77" s="98">
        <v>121</v>
      </c>
      <c r="E77" s="86">
        <v>544</v>
      </c>
      <c r="F77" s="116"/>
      <c r="G77" s="116"/>
      <c r="H77" s="86">
        <f t="shared" ref="H77:H81" si="25">D77</f>
        <v>121</v>
      </c>
      <c r="I77" s="86">
        <f t="shared" ref="I77:I81" si="26">E77</f>
        <v>544</v>
      </c>
      <c r="J77" s="121"/>
      <c r="K77" s="117"/>
      <c r="L77" s="133"/>
    </row>
    <row r="78" spans="1:12" ht="23.25" customHeight="1" x14ac:dyDescent="0.25">
      <c r="A78" s="119"/>
      <c r="B78" s="122"/>
      <c r="C78" s="85" t="s">
        <v>38</v>
      </c>
      <c r="D78" s="98">
        <v>137</v>
      </c>
      <c r="E78" s="86">
        <v>595</v>
      </c>
      <c r="F78" s="116"/>
      <c r="G78" s="116"/>
      <c r="H78" s="86">
        <f t="shared" si="25"/>
        <v>137</v>
      </c>
      <c r="I78" s="86">
        <f t="shared" si="26"/>
        <v>595</v>
      </c>
      <c r="J78" s="121"/>
      <c r="K78" s="117"/>
      <c r="L78" s="133"/>
    </row>
    <row r="79" spans="1:12" ht="31.5" customHeight="1" x14ac:dyDescent="0.25">
      <c r="A79" s="119">
        <f>COUNTA($A$5:A78)</f>
        <v>34</v>
      </c>
      <c r="B79" s="122" t="s">
        <v>132</v>
      </c>
      <c r="C79" s="85" t="s">
        <v>39</v>
      </c>
      <c r="D79" s="98">
        <v>104</v>
      </c>
      <c r="E79" s="86">
        <v>402</v>
      </c>
      <c r="F79" s="116"/>
      <c r="G79" s="116"/>
      <c r="H79" s="86">
        <f t="shared" si="25"/>
        <v>104</v>
      </c>
      <c r="I79" s="86">
        <f t="shared" si="26"/>
        <v>402</v>
      </c>
      <c r="J79" s="121"/>
      <c r="K79" s="117"/>
      <c r="L79" s="133"/>
    </row>
    <row r="80" spans="1:12" ht="28.5" customHeight="1" x14ac:dyDescent="0.25">
      <c r="A80" s="119"/>
      <c r="B80" s="122"/>
      <c r="C80" s="85" t="s">
        <v>40</v>
      </c>
      <c r="D80" s="98">
        <v>98</v>
      </c>
      <c r="E80" s="86">
        <v>368</v>
      </c>
      <c r="F80" s="116"/>
      <c r="G80" s="116"/>
      <c r="H80" s="86">
        <f t="shared" si="25"/>
        <v>98</v>
      </c>
      <c r="I80" s="86">
        <f t="shared" si="26"/>
        <v>368</v>
      </c>
      <c r="J80" s="121"/>
      <c r="K80" s="117"/>
      <c r="L80" s="133"/>
    </row>
    <row r="81" spans="1:12" ht="36.6" customHeight="1" x14ac:dyDescent="0.25">
      <c r="A81" s="119"/>
      <c r="B81" s="122"/>
      <c r="C81" s="88" t="s">
        <v>41</v>
      </c>
      <c r="D81" s="86">
        <v>124</v>
      </c>
      <c r="E81" s="86">
        <v>465</v>
      </c>
      <c r="F81" s="116"/>
      <c r="G81" s="116"/>
      <c r="H81" s="86">
        <f t="shared" si="25"/>
        <v>124</v>
      </c>
      <c r="I81" s="86">
        <f t="shared" si="26"/>
        <v>465</v>
      </c>
      <c r="J81" s="121"/>
      <c r="K81" s="117"/>
      <c r="L81" s="133"/>
    </row>
    <row r="82" spans="1:12" s="96" customFormat="1" ht="23.25" customHeight="1" x14ac:dyDescent="0.25">
      <c r="A82" s="87"/>
      <c r="B82" s="116" t="s">
        <v>103</v>
      </c>
      <c r="C82" s="116"/>
      <c r="D82" s="82">
        <f>SUM(D76:D81)</f>
        <v>639</v>
      </c>
      <c r="E82" s="82">
        <f>SUM(E76:E81)</f>
        <v>2623</v>
      </c>
      <c r="F82" s="94"/>
      <c r="G82" s="94"/>
      <c r="H82" s="82">
        <f>SUM(H76:H81)</f>
        <v>639</v>
      </c>
      <c r="I82" s="82">
        <f>SUM(I76:I81)</f>
        <v>2623</v>
      </c>
      <c r="J82" s="121"/>
      <c r="K82" s="110"/>
      <c r="L82" s="97"/>
    </row>
    <row r="83" spans="1:12" ht="23.25" customHeight="1" x14ac:dyDescent="0.25">
      <c r="A83" s="119">
        <f>COUNTA($A$5:A82)</f>
        <v>35</v>
      </c>
      <c r="B83" s="122" t="s">
        <v>136</v>
      </c>
      <c r="C83" s="85" t="s">
        <v>52</v>
      </c>
      <c r="D83" s="98">
        <v>124</v>
      </c>
      <c r="E83" s="86">
        <v>546</v>
      </c>
      <c r="F83" s="116">
        <v>12</v>
      </c>
      <c r="G83" s="116" t="s">
        <v>231</v>
      </c>
      <c r="H83" s="98">
        <f>D83</f>
        <v>124</v>
      </c>
      <c r="I83" s="86">
        <f>E83</f>
        <v>546</v>
      </c>
      <c r="J83" s="121">
        <v>0.31</v>
      </c>
      <c r="K83" s="117" t="s">
        <v>155</v>
      </c>
      <c r="L83" s="132" t="s">
        <v>218</v>
      </c>
    </row>
    <row r="84" spans="1:12" ht="23.25" customHeight="1" x14ac:dyDescent="0.25">
      <c r="A84" s="119"/>
      <c r="B84" s="122"/>
      <c r="C84" s="85" t="s">
        <v>53</v>
      </c>
      <c r="D84" s="98">
        <v>130</v>
      </c>
      <c r="E84" s="86">
        <v>541</v>
      </c>
      <c r="F84" s="116"/>
      <c r="G84" s="116"/>
      <c r="H84" s="98">
        <f t="shared" ref="H84:H89" si="27">D84</f>
        <v>130</v>
      </c>
      <c r="I84" s="86">
        <f t="shared" ref="I84:I89" si="28">E84</f>
        <v>541</v>
      </c>
      <c r="J84" s="121"/>
      <c r="K84" s="117"/>
      <c r="L84" s="133"/>
    </row>
    <row r="85" spans="1:12" ht="23.25" customHeight="1" x14ac:dyDescent="0.25">
      <c r="A85" s="119">
        <f>COUNTA($A$5:A84)</f>
        <v>36</v>
      </c>
      <c r="B85" s="122" t="s">
        <v>139</v>
      </c>
      <c r="C85" s="85" t="s">
        <v>54</v>
      </c>
      <c r="D85" s="98">
        <v>86</v>
      </c>
      <c r="E85" s="86">
        <v>339</v>
      </c>
      <c r="F85" s="116"/>
      <c r="G85" s="116"/>
      <c r="H85" s="98">
        <f t="shared" si="27"/>
        <v>86</v>
      </c>
      <c r="I85" s="86">
        <f t="shared" si="28"/>
        <v>339</v>
      </c>
      <c r="J85" s="121"/>
      <c r="K85" s="117"/>
      <c r="L85" s="133"/>
    </row>
    <row r="86" spans="1:12" ht="23.25" customHeight="1" x14ac:dyDescent="0.25">
      <c r="A86" s="119"/>
      <c r="B86" s="122"/>
      <c r="C86" s="85" t="s">
        <v>55</v>
      </c>
      <c r="D86" s="98">
        <v>86</v>
      </c>
      <c r="E86" s="86">
        <v>384</v>
      </c>
      <c r="F86" s="116"/>
      <c r="G86" s="116"/>
      <c r="H86" s="98">
        <f t="shared" si="27"/>
        <v>86</v>
      </c>
      <c r="I86" s="86">
        <f t="shared" si="28"/>
        <v>384</v>
      </c>
      <c r="J86" s="121"/>
      <c r="K86" s="117"/>
      <c r="L86" s="133"/>
    </row>
    <row r="87" spans="1:12" ht="23.25" customHeight="1" x14ac:dyDescent="0.25">
      <c r="A87" s="119"/>
      <c r="B87" s="122"/>
      <c r="C87" s="85" t="s">
        <v>56</v>
      </c>
      <c r="D87" s="98">
        <v>84</v>
      </c>
      <c r="E87" s="86">
        <v>316</v>
      </c>
      <c r="F87" s="116"/>
      <c r="G87" s="116"/>
      <c r="H87" s="98">
        <f t="shared" si="27"/>
        <v>84</v>
      </c>
      <c r="I87" s="86">
        <f t="shared" si="28"/>
        <v>316</v>
      </c>
      <c r="J87" s="121"/>
      <c r="K87" s="117"/>
      <c r="L87" s="133"/>
    </row>
    <row r="88" spans="1:12" ht="23.25" customHeight="1" x14ac:dyDescent="0.25">
      <c r="A88" s="119"/>
      <c r="B88" s="122"/>
      <c r="C88" s="85" t="s">
        <v>57</v>
      </c>
      <c r="D88" s="98">
        <v>65</v>
      </c>
      <c r="E88" s="86">
        <v>323</v>
      </c>
      <c r="F88" s="116"/>
      <c r="G88" s="116"/>
      <c r="H88" s="98">
        <f t="shared" si="27"/>
        <v>65</v>
      </c>
      <c r="I88" s="86">
        <f t="shared" si="28"/>
        <v>323</v>
      </c>
      <c r="J88" s="121"/>
      <c r="K88" s="117"/>
      <c r="L88" s="133"/>
    </row>
    <row r="89" spans="1:12" ht="23.25" customHeight="1" x14ac:dyDescent="0.25">
      <c r="A89" s="119"/>
      <c r="B89" s="122"/>
      <c r="C89" s="85" t="s">
        <v>58</v>
      </c>
      <c r="D89" s="98">
        <v>72</v>
      </c>
      <c r="E89" s="86">
        <v>438</v>
      </c>
      <c r="F89" s="116"/>
      <c r="G89" s="116"/>
      <c r="H89" s="98">
        <f t="shared" si="27"/>
        <v>72</v>
      </c>
      <c r="I89" s="86">
        <f t="shared" si="28"/>
        <v>438</v>
      </c>
      <c r="J89" s="121"/>
      <c r="K89" s="117"/>
      <c r="L89" s="133"/>
    </row>
    <row r="90" spans="1:12" s="96" customFormat="1" ht="23.25" customHeight="1" x14ac:dyDescent="0.25">
      <c r="A90" s="87"/>
      <c r="B90" s="116" t="s">
        <v>103</v>
      </c>
      <c r="C90" s="116"/>
      <c r="D90" s="82">
        <f>SUM(D83:D89)</f>
        <v>647</v>
      </c>
      <c r="E90" s="82">
        <f>SUM(E83:E89)</f>
        <v>2887</v>
      </c>
      <c r="F90" s="94"/>
      <c r="G90" s="94"/>
      <c r="H90" s="82">
        <f>SUM(H83:H89)</f>
        <v>647</v>
      </c>
      <c r="I90" s="82">
        <f>SUM(I83:I89)</f>
        <v>2887</v>
      </c>
      <c r="J90" s="121"/>
      <c r="K90" s="110"/>
      <c r="L90" s="97"/>
    </row>
    <row r="91" spans="1:12" ht="23.25" customHeight="1" x14ac:dyDescent="0.25">
      <c r="A91" s="119">
        <f>COUNTA($A$5:A90)</f>
        <v>37</v>
      </c>
      <c r="B91" s="122" t="s">
        <v>140</v>
      </c>
      <c r="C91" s="85" t="s">
        <v>63</v>
      </c>
      <c r="D91" s="98">
        <v>166</v>
      </c>
      <c r="E91" s="86">
        <v>698</v>
      </c>
      <c r="F91" s="116">
        <v>13</v>
      </c>
      <c r="G91" s="116" t="s">
        <v>232</v>
      </c>
      <c r="H91" s="98">
        <f>D91</f>
        <v>166</v>
      </c>
      <c r="I91" s="86">
        <f>E91</f>
        <v>698</v>
      </c>
      <c r="J91" s="121">
        <v>1.07</v>
      </c>
      <c r="K91" s="117" t="s">
        <v>240</v>
      </c>
      <c r="L91" s="134" t="s">
        <v>156</v>
      </c>
    </row>
    <row r="92" spans="1:12" ht="23.25" customHeight="1" x14ac:dyDescent="0.25">
      <c r="A92" s="119"/>
      <c r="B92" s="122"/>
      <c r="C92" s="85" t="s">
        <v>64</v>
      </c>
      <c r="D92" s="98">
        <v>166</v>
      </c>
      <c r="E92" s="86">
        <v>703</v>
      </c>
      <c r="F92" s="116"/>
      <c r="G92" s="116"/>
      <c r="H92" s="98">
        <f t="shared" ref="H92:H94" si="29">D92</f>
        <v>166</v>
      </c>
      <c r="I92" s="86">
        <f t="shared" ref="I92:I94" si="30">E92</f>
        <v>703</v>
      </c>
      <c r="J92" s="121"/>
      <c r="K92" s="117"/>
      <c r="L92" s="135"/>
    </row>
    <row r="93" spans="1:12" ht="23.25" customHeight="1" x14ac:dyDescent="0.25">
      <c r="A93" s="119"/>
      <c r="B93" s="122"/>
      <c r="C93" s="85" t="s">
        <v>65</v>
      </c>
      <c r="D93" s="98">
        <v>84</v>
      </c>
      <c r="E93" s="86">
        <v>365</v>
      </c>
      <c r="F93" s="116"/>
      <c r="G93" s="116"/>
      <c r="H93" s="98">
        <f t="shared" si="29"/>
        <v>84</v>
      </c>
      <c r="I93" s="86">
        <f t="shared" si="30"/>
        <v>365</v>
      </c>
      <c r="J93" s="121"/>
      <c r="K93" s="117"/>
      <c r="L93" s="135"/>
    </row>
    <row r="94" spans="1:12" ht="23.25" customHeight="1" x14ac:dyDescent="0.25">
      <c r="A94" s="119"/>
      <c r="B94" s="122"/>
      <c r="C94" s="85" t="s">
        <v>66</v>
      </c>
      <c r="D94" s="98">
        <v>121</v>
      </c>
      <c r="E94" s="86">
        <v>485</v>
      </c>
      <c r="F94" s="116"/>
      <c r="G94" s="116"/>
      <c r="H94" s="98">
        <f t="shared" si="29"/>
        <v>121</v>
      </c>
      <c r="I94" s="86">
        <f t="shared" si="30"/>
        <v>485</v>
      </c>
      <c r="J94" s="121"/>
      <c r="K94" s="117"/>
      <c r="L94" s="135"/>
    </row>
    <row r="95" spans="1:12" s="96" customFormat="1" ht="23.25" customHeight="1" x14ac:dyDescent="0.25">
      <c r="A95" s="87"/>
      <c r="B95" s="116" t="s">
        <v>103</v>
      </c>
      <c r="C95" s="116"/>
      <c r="D95" s="82">
        <f>SUM(D91:D94)</f>
        <v>537</v>
      </c>
      <c r="E95" s="82">
        <f t="shared" ref="E95:I95" si="31">SUM(E91:E94)</f>
        <v>2251</v>
      </c>
      <c r="F95" s="94"/>
      <c r="G95" s="94"/>
      <c r="H95" s="82">
        <f t="shared" si="31"/>
        <v>537</v>
      </c>
      <c r="I95" s="82">
        <f t="shared" si="31"/>
        <v>2251</v>
      </c>
      <c r="J95" s="121"/>
      <c r="K95" s="110"/>
      <c r="L95" s="97"/>
    </row>
    <row r="96" spans="1:12" ht="23.25" customHeight="1" x14ac:dyDescent="0.25">
      <c r="A96" s="119">
        <f>COUNTA($A$5:A95)</f>
        <v>38</v>
      </c>
      <c r="B96" s="122" t="s">
        <v>89</v>
      </c>
      <c r="C96" s="85" t="s">
        <v>71</v>
      </c>
      <c r="D96" s="98">
        <v>84</v>
      </c>
      <c r="E96" s="86">
        <v>323</v>
      </c>
      <c r="F96" s="116">
        <v>14</v>
      </c>
      <c r="G96" s="116" t="s">
        <v>233</v>
      </c>
      <c r="H96" s="98">
        <f>D96</f>
        <v>84</v>
      </c>
      <c r="I96" s="86">
        <f>E96</f>
        <v>323</v>
      </c>
      <c r="J96" s="121">
        <v>1.35</v>
      </c>
      <c r="K96" s="117" t="s">
        <v>241</v>
      </c>
      <c r="L96" s="119" t="s">
        <v>214</v>
      </c>
    </row>
    <row r="97" spans="1:12" ht="23.25" customHeight="1" x14ac:dyDescent="0.25">
      <c r="A97" s="119"/>
      <c r="B97" s="122"/>
      <c r="C97" s="85" t="s">
        <v>72</v>
      </c>
      <c r="D97" s="98">
        <v>112</v>
      </c>
      <c r="E97" s="86">
        <v>407</v>
      </c>
      <c r="F97" s="116"/>
      <c r="G97" s="116"/>
      <c r="H97" s="98">
        <f t="shared" ref="H97:H100" si="32">D97</f>
        <v>112</v>
      </c>
      <c r="I97" s="86">
        <f t="shared" ref="I97:I100" si="33">E97</f>
        <v>407</v>
      </c>
      <c r="J97" s="121"/>
      <c r="K97" s="117"/>
      <c r="L97" s="119"/>
    </row>
    <row r="98" spans="1:12" ht="23.25" customHeight="1" x14ac:dyDescent="0.25">
      <c r="A98" s="119"/>
      <c r="B98" s="122"/>
      <c r="C98" s="85" t="s">
        <v>73</v>
      </c>
      <c r="D98" s="98">
        <v>70</v>
      </c>
      <c r="E98" s="86">
        <v>274</v>
      </c>
      <c r="F98" s="116"/>
      <c r="G98" s="116"/>
      <c r="H98" s="98">
        <f t="shared" si="32"/>
        <v>70</v>
      </c>
      <c r="I98" s="86">
        <f t="shared" si="33"/>
        <v>274</v>
      </c>
      <c r="J98" s="121"/>
      <c r="K98" s="117"/>
      <c r="L98" s="119"/>
    </row>
    <row r="99" spans="1:12" ht="23.25" customHeight="1" x14ac:dyDescent="0.25">
      <c r="A99" s="119">
        <f>COUNTA($A$5:A98)</f>
        <v>39</v>
      </c>
      <c r="B99" s="122" t="s">
        <v>90</v>
      </c>
      <c r="C99" s="85" t="s">
        <v>75</v>
      </c>
      <c r="D99" s="98">
        <v>148</v>
      </c>
      <c r="E99" s="86">
        <v>435</v>
      </c>
      <c r="F99" s="116"/>
      <c r="G99" s="116"/>
      <c r="H99" s="98">
        <f t="shared" si="32"/>
        <v>148</v>
      </c>
      <c r="I99" s="86">
        <f t="shared" si="33"/>
        <v>435</v>
      </c>
      <c r="J99" s="121"/>
      <c r="K99" s="117"/>
      <c r="L99" s="119"/>
    </row>
    <row r="100" spans="1:12" ht="23.25" customHeight="1" x14ac:dyDescent="0.25">
      <c r="A100" s="119"/>
      <c r="B100" s="122"/>
      <c r="C100" s="85" t="s">
        <v>76</v>
      </c>
      <c r="D100" s="98">
        <v>175</v>
      </c>
      <c r="E100" s="86">
        <v>479</v>
      </c>
      <c r="F100" s="116"/>
      <c r="G100" s="116"/>
      <c r="H100" s="98">
        <f t="shared" si="32"/>
        <v>175</v>
      </c>
      <c r="I100" s="86">
        <f t="shared" si="33"/>
        <v>479</v>
      </c>
      <c r="J100" s="121"/>
      <c r="K100" s="117"/>
      <c r="L100" s="119"/>
    </row>
    <row r="101" spans="1:12" s="96" customFormat="1" ht="23.25" customHeight="1" x14ac:dyDescent="0.25">
      <c r="A101" s="87"/>
      <c r="B101" s="116" t="s">
        <v>103</v>
      </c>
      <c r="C101" s="116"/>
      <c r="D101" s="82">
        <f>SUM(D96:D100)</f>
        <v>589</v>
      </c>
      <c r="E101" s="82">
        <f>SUM(E96:E100)</f>
        <v>1918</v>
      </c>
      <c r="F101" s="94"/>
      <c r="G101" s="94"/>
      <c r="H101" s="82">
        <f>SUM(H96:H100)</f>
        <v>589</v>
      </c>
      <c r="I101" s="82">
        <f>SUM(I96:I100)</f>
        <v>1918</v>
      </c>
      <c r="J101" s="121"/>
      <c r="K101" s="110"/>
      <c r="L101" s="97"/>
    </row>
    <row r="102" spans="1:12" ht="23.25" customHeight="1" x14ac:dyDescent="0.25">
      <c r="A102" s="119">
        <f>COUNTA($A$5:A101)</f>
        <v>40</v>
      </c>
      <c r="B102" s="122" t="s">
        <v>88</v>
      </c>
      <c r="C102" s="85" t="s">
        <v>67</v>
      </c>
      <c r="D102" s="98">
        <v>98</v>
      </c>
      <c r="E102" s="86">
        <v>354</v>
      </c>
      <c r="F102" s="116">
        <v>15</v>
      </c>
      <c r="G102" s="116" t="s">
        <v>234</v>
      </c>
      <c r="H102" s="98">
        <f>D102</f>
        <v>98</v>
      </c>
      <c r="I102" s="86">
        <f>E102</f>
        <v>354</v>
      </c>
      <c r="J102" s="121">
        <v>2.27</v>
      </c>
      <c r="K102" s="117" t="s">
        <v>242</v>
      </c>
      <c r="L102" s="134" t="s">
        <v>157</v>
      </c>
    </row>
    <row r="103" spans="1:12" ht="23.25" customHeight="1" x14ac:dyDescent="0.25">
      <c r="A103" s="119"/>
      <c r="B103" s="122"/>
      <c r="C103" s="85" t="s">
        <v>68</v>
      </c>
      <c r="D103" s="98">
        <v>147</v>
      </c>
      <c r="E103" s="86">
        <v>544</v>
      </c>
      <c r="F103" s="116"/>
      <c r="G103" s="116"/>
      <c r="H103" s="98">
        <f t="shared" ref="H103:H105" si="34">D103</f>
        <v>147</v>
      </c>
      <c r="I103" s="86">
        <f t="shared" ref="I103:I105" si="35">E103</f>
        <v>544</v>
      </c>
      <c r="J103" s="121"/>
      <c r="K103" s="117"/>
      <c r="L103" s="135"/>
    </row>
    <row r="104" spans="1:12" s="91" customFormat="1" ht="31.5" customHeight="1" x14ac:dyDescent="0.25">
      <c r="A104" s="119"/>
      <c r="B104" s="122"/>
      <c r="C104" s="87" t="s">
        <v>69</v>
      </c>
      <c r="D104" s="86">
        <v>133</v>
      </c>
      <c r="E104" s="86">
        <v>410</v>
      </c>
      <c r="F104" s="116"/>
      <c r="G104" s="116"/>
      <c r="H104" s="86">
        <f t="shared" si="34"/>
        <v>133</v>
      </c>
      <c r="I104" s="86">
        <f t="shared" si="35"/>
        <v>410</v>
      </c>
      <c r="J104" s="121"/>
      <c r="K104" s="117"/>
      <c r="L104" s="135"/>
    </row>
    <row r="105" spans="1:12" s="84" customFormat="1" ht="30" customHeight="1" x14ac:dyDescent="0.25">
      <c r="A105" s="119"/>
      <c r="B105" s="122"/>
      <c r="C105" s="87" t="s">
        <v>70</v>
      </c>
      <c r="D105" s="98">
        <v>113</v>
      </c>
      <c r="E105" s="86">
        <v>409</v>
      </c>
      <c r="F105" s="116"/>
      <c r="G105" s="116"/>
      <c r="H105" s="98">
        <f t="shared" si="34"/>
        <v>113</v>
      </c>
      <c r="I105" s="86">
        <f t="shared" si="35"/>
        <v>409</v>
      </c>
      <c r="J105" s="121"/>
      <c r="K105" s="117"/>
      <c r="L105" s="135"/>
    </row>
    <row r="106" spans="1:12" s="84" customFormat="1" ht="23.25" customHeight="1" x14ac:dyDescent="0.25">
      <c r="A106" s="88"/>
      <c r="B106" s="116" t="s">
        <v>103</v>
      </c>
      <c r="C106" s="116"/>
      <c r="D106" s="82">
        <f>SUM(D102:D105)</f>
        <v>491</v>
      </c>
      <c r="E106" s="82">
        <f>SUM(E102:E105)</f>
        <v>1717</v>
      </c>
      <c r="F106" s="83"/>
      <c r="G106" s="83"/>
      <c r="H106" s="82">
        <f>SUM(H102:H105)</f>
        <v>491</v>
      </c>
      <c r="I106" s="82">
        <f>SUM(I102:I105)</f>
        <v>1717</v>
      </c>
      <c r="J106" s="121"/>
      <c r="K106" s="115"/>
      <c r="L106" s="51"/>
    </row>
    <row r="107" spans="1:12" s="84" customFormat="1" ht="23.25" customHeight="1" x14ac:dyDescent="0.25">
      <c r="A107" s="119">
        <f>COUNTA($A$5:A106)</f>
        <v>41</v>
      </c>
      <c r="B107" s="87" t="s">
        <v>89</v>
      </c>
      <c r="C107" s="85" t="s">
        <v>74</v>
      </c>
      <c r="D107" s="98">
        <f>115+25</f>
        <v>140</v>
      </c>
      <c r="E107" s="86">
        <v>416</v>
      </c>
      <c r="F107" s="116">
        <v>16</v>
      </c>
      <c r="G107" s="116" t="s">
        <v>204</v>
      </c>
      <c r="H107" s="98">
        <f t="shared" ref="H107:H110" si="36">D107</f>
        <v>140</v>
      </c>
      <c r="I107" s="86">
        <f t="shared" ref="I107:I110" si="37">E107</f>
        <v>416</v>
      </c>
      <c r="J107" s="107"/>
      <c r="K107" s="117" t="s">
        <v>243</v>
      </c>
      <c r="L107" s="134" t="s">
        <v>251</v>
      </c>
    </row>
    <row r="108" spans="1:12" s="84" customFormat="1" ht="23.25" customHeight="1" x14ac:dyDescent="0.25">
      <c r="A108" s="119"/>
      <c r="B108" s="122" t="s">
        <v>91</v>
      </c>
      <c r="C108" s="87" t="s">
        <v>77</v>
      </c>
      <c r="D108" s="98">
        <f>120+25</f>
        <v>145</v>
      </c>
      <c r="E108" s="86">
        <v>462</v>
      </c>
      <c r="F108" s="116"/>
      <c r="G108" s="116"/>
      <c r="H108" s="98">
        <f t="shared" si="36"/>
        <v>145</v>
      </c>
      <c r="I108" s="86">
        <f t="shared" si="37"/>
        <v>462</v>
      </c>
      <c r="J108" s="107"/>
      <c r="K108" s="118"/>
      <c r="L108" s="135"/>
    </row>
    <row r="109" spans="1:12" s="84" customFormat="1" ht="23.25" customHeight="1" x14ac:dyDescent="0.25">
      <c r="A109" s="119"/>
      <c r="B109" s="122"/>
      <c r="C109" s="87" t="s">
        <v>78</v>
      </c>
      <c r="D109" s="98">
        <f>25+54</f>
        <v>79</v>
      </c>
      <c r="E109" s="86">
        <v>232</v>
      </c>
      <c r="F109" s="116"/>
      <c r="G109" s="116"/>
      <c r="H109" s="98">
        <f t="shared" si="36"/>
        <v>79</v>
      </c>
      <c r="I109" s="86">
        <f t="shared" si="37"/>
        <v>232</v>
      </c>
      <c r="J109" s="107"/>
      <c r="K109" s="118"/>
      <c r="L109" s="135"/>
    </row>
    <row r="110" spans="1:12" s="84" customFormat="1" ht="23.25" customHeight="1" x14ac:dyDescent="0.25">
      <c r="A110" s="119"/>
      <c r="B110" s="122"/>
      <c r="C110" s="87" t="s">
        <v>79</v>
      </c>
      <c r="D110" s="98">
        <f>25+79</f>
        <v>104</v>
      </c>
      <c r="E110" s="86">
        <v>286</v>
      </c>
      <c r="F110" s="116"/>
      <c r="G110" s="116"/>
      <c r="H110" s="98">
        <f t="shared" si="36"/>
        <v>104</v>
      </c>
      <c r="I110" s="86">
        <f t="shared" si="37"/>
        <v>286</v>
      </c>
      <c r="J110" s="107"/>
      <c r="K110" s="118"/>
      <c r="L110" s="135"/>
    </row>
    <row r="111" spans="1:12" s="84" customFormat="1" x14ac:dyDescent="0.25">
      <c r="A111" s="88"/>
      <c r="B111" s="116" t="s">
        <v>103</v>
      </c>
      <c r="C111" s="116"/>
      <c r="D111" s="82">
        <f>SUM(D107:D110)</f>
        <v>468</v>
      </c>
      <c r="E111" s="82">
        <f>SUM(E107:E110)</f>
        <v>1396</v>
      </c>
      <c r="F111" s="83"/>
      <c r="G111" s="108"/>
      <c r="H111" s="82">
        <f t="shared" ref="H111:I113" si="38">D111</f>
        <v>468</v>
      </c>
      <c r="I111" s="82">
        <f t="shared" si="38"/>
        <v>1396</v>
      </c>
      <c r="J111" s="107"/>
      <c r="K111" s="118"/>
      <c r="L111" s="135"/>
    </row>
    <row r="112" spans="1:12" ht="27.75" customHeight="1" x14ac:dyDescent="0.25">
      <c r="A112" s="119">
        <f>COUNTA($A$5:A106)</f>
        <v>41</v>
      </c>
      <c r="B112" s="122" t="s">
        <v>87</v>
      </c>
      <c r="C112" s="87" t="s">
        <v>81</v>
      </c>
      <c r="D112" s="67">
        <v>1002</v>
      </c>
      <c r="E112" s="67">
        <v>2702</v>
      </c>
      <c r="F112" s="116">
        <v>17</v>
      </c>
      <c r="G112" s="116" t="s">
        <v>175</v>
      </c>
      <c r="H112" s="67">
        <f t="shared" si="38"/>
        <v>1002</v>
      </c>
      <c r="I112" s="67">
        <f t="shared" si="38"/>
        <v>2702</v>
      </c>
      <c r="J112" s="120"/>
      <c r="K112" s="117" t="s">
        <v>176</v>
      </c>
      <c r="L112" s="135" t="s">
        <v>158</v>
      </c>
    </row>
    <row r="113" spans="1:12" ht="21.75" customHeight="1" x14ac:dyDescent="0.25">
      <c r="A113" s="119"/>
      <c r="B113" s="122"/>
      <c r="C113" s="87" t="s">
        <v>82</v>
      </c>
      <c r="D113" s="67">
        <v>451</v>
      </c>
      <c r="E113" s="67">
        <v>1510</v>
      </c>
      <c r="F113" s="116"/>
      <c r="G113" s="116"/>
      <c r="H113" s="67">
        <f t="shared" si="38"/>
        <v>451</v>
      </c>
      <c r="I113" s="67">
        <f t="shared" si="38"/>
        <v>1510</v>
      </c>
      <c r="J113" s="120"/>
      <c r="K113" s="117"/>
      <c r="L113" s="135"/>
    </row>
    <row r="114" spans="1:12" ht="30" customHeight="1" x14ac:dyDescent="0.25">
      <c r="A114" s="88"/>
      <c r="B114" s="116" t="s">
        <v>103</v>
      </c>
      <c r="C114" s="116"/>
      <c r="D114" s="82">
        <f>SUM(D112:D113)</f>
        <v>1453</v>
      </c>
      <c r="E114" s="82">
        <f>SUM(E112:E113)</f>
        <v>4212</v>
      </c>
      <c r="F114" s="94"/>
      <c r="G114" s="94"/>
      <c r="H114" s="82">
        <f>SUM(H112:H113)</f>
        <v>1453</v>
      </c>
      <c r="I114" s="82">
        <f>SUM(I112:I113)</f>
        <v>4212</v>
      </c>
      <c r="J114" s="120"/>
      <c r="K114" s="117"/>
      <c r="L114" s="135"/>
    </row>
    <row r="115" spans="1:12" ht="51" customHeight="1" x14ac:dyDescent="0.25">
      <c r="A115" s="88">
        <f>COUNTA($A$5:A114)</f>
        <v>43</v>
      </c>
      <c r="B115" s="87" t="s">
        <v>92</v>
      </c>
      <c r="C115" s="87" t="s">
        <v>80</v>
      </c>
      <c r="D115" s="67">
        <f>130+228</f>
        <v>358</v>
      </c>
      <c r="E115" s="67">
        <f>523+305</f>
        <v>828</v>
      </c>
      <c r="F115" s="116">
        <v>18</v>
      </c>
      <c r="G115" s="116" t="s">
        <v>197</v>
      </c>
      <c r="H115" s="67">
        <f t="shared" ref="H115:I116" si="39">D115</f>
        <v>358</v>
      </c>
      <c r="I115" s="67">
        <f t="shared" si="39"/>
        <v>828</v>
      </c>
      <c r="J115" s="120">
        <v>3.1</v>
      </c>
      <c r="K115" s="117" t="s">
        <v>191</v>
      </c>
      <c r="L115" s="134" t="s">
        <v>252</v>
      </c>
    </row>
    <row r="116" spans="1:12" ht="54" customHeight="1" x14ac:dyDescent="0.25">
      <c r="A116" s="88">
        <f>COUNTA($A$5:A115)</f>
        <v>44</v>
      </c>
      <c r="B116" s="87" t="s">
        <v>93</v>
      </c>
      <c r="C116" s="87" t="s">
        <v>104</v>
      </c>
      <c r="D116" s="67">
        <v>192</v>
      </c>
      <c r="E116" s="67">
        <v>650</v>
      </c>
      <c r="F116" s="116"/>
      <c r="G116" s="116"/>
      <c r="H116" s="67">
        <f t="shared" si="39"/>
        <v>192</v>
      </c>
      <c r="I116" s="67">
        <f t="shared" si="39"/>
        <v>650</v>
      </c>
      <c r="J116" s="120"/>
      <c r="K116" s="117"/>
      <c r="L116" s="134"/>
    </row>
    <row r="117" spans="1:12" ht="21.75" customHeight="1" x14ac:dyDescent="0.25">
      <c r="A117" s="88"/>
      <c r="B117" s="116" t="s">
        <v>103</v>
      </c>
      <c r="C117" s="116"/>
      <c r="D117" s="82">
        <f>SUM(D115:D116)</f>
        <v>550</v>
      </c>
      <c r="E117" s="82">
        <f>SUM(E115:E116)</f>
        <v>1478</v>
      </c>
      <c r="F117" s="94"/>
      <c r="G117" s="116"/>
      <c r="H117" s="82">
        <f>SUM(H115:H116)</f>
        <v>550</v>
      </c>
      <c r="I117" s="82">
        <f>SUM(I115:I116)</f>
        <v>1478</v>
      </c>
      <c r="J117" s="120"/>
      <c r="K117" s="118"/>
      <c r="L117" s="135"/>
    </row>
    <row r="118" spans="1:12" s="84" customFormat="1" ht="129" customHeight="1" x14ac:dyDescent="0.25">
      <c r="A118" s="88">
        <f>COUNTA($A$5:A117)</f>
        <v>45</v>
      </c>
      <c r="B118" s="83" t="s">
        <v>142</v>
      </c>
      <c r="C118" s="83" t="s">
        <v>105</v>
      </c>
      <c r="D118" s="82">
        <f>736-43-150</f>
        <v>543</v>
      </c>
      <c r="E118" s="82">
        <f>2736-172-450</f>
        <v>2114</v>
      </c>
      <c r="F118" s="83">
        <v>19</v>
      </c>
      <c r="G118" s="116" t="s">
        <v>105</v>
      </c>
      <c r="H118" s="82">
        <f>D118</f>
        <v>543</v>
      </c>
      <c r="I118" s="82">
        <f>E118</f>
        <v>2114</v>
      </c>
      <c r="J118" s="120">
        <v>7.8299999999999992</v>
      </c>
      <c r="K118" s="117" t="s">
        <v>159</v>
      </c>
      <c r="L118" s="132" t="s">
        <v>253</v>
      </c>
    </row>
    <row r="119" spans="1:12" ht="75" customHeight="1" x14ac:dyDescent="0.25">
      <c r="A119" s="88"/>
      <c r="B119" s="116" t="s">
        <v>164</v>
      </c>
      <c r="C119" s="116"/>
      <c r="D119" s="82">
        <f>SUM(D118)</f>
        <v>543</v>
      </c>
      <c r="E119" s="82">
        <f t="shared" ref="E119:H119" si="40">SUM(E118)</f>
        <v>2114</v>
      </c>
      <c r="F119" s="94"/>
      <c r="G119" s="116"/>
      <c r="H119" s="82">
        <f t="shared" si="40"/>
        <v>543</v>
      </c>
      <c r="I119" s="82">
        <f>E119</f>
        <v>2114</v>
      </c>
      <c r="J119" s="120"/>
      <c r="K119" s="117"/>
      <c r="L119" s="133"/>
    </row>
    <row r="120" spans="1:12" ht="78.75" x14ac:dyDescent="0.25">
      <c r="A120" s="88">
        <f>COUNTA($A$5:A119)</f>
        <v>46</v>
      </c>
      <c r="B120" s="87" t="s">
        <v>143</v>
      </c>
      <c r="C120" s="87" t="s">
        <v>106</v>
      </c>
      <c r="D120" s="67">
        <v>460</v>
      </c>
      <c r="E120" s="67">
        <v>1555</v>
      </c>
      <c r="F120" s="83">
        <v>20</v>
      </c>
      <c r="G120" s="83" t="s">
        <v>194</v>
      </c>
      <c r="H120" s="67">
        <f>D120</f>
        <v>460</v>
      </c>
      <c r="I120" s="67">
        <f>E120</f>
        <v>1555</v>
      </c>
      <c r="J120" s="120">
        <v>0.5</v>
      </c>
      <c r="K120" s="110" t="s">
        <v>202</v>
      </c>
      <c r="L120" s="83" t="s">
        <v>196</v>
      </c>
    </row>
    <row r="121" spans="1:12" x14ac:dyDescent="0.25">
      <c r="A121" s="88"/>
      <c r="B121" s="116" t="s">
        <v>164</v>
      </c>
      <c r="C121" s="116"/>
      <c r="D121" s="82">
        <v>460</v>
      </c>
      <c r="E121" s="82">
        <v>1555</v>
      </c>
      <c r="F121" s="83"/>
      <c r="G121" s="50"/>
      <c r="H121" s="82">
        <v>460</v>
      </c>
      <c r="I121" s="82">
        <v>1555</v>
      </c>
      <c r="J121" s="120"/>
      <c r="K121" s="110"/>
      <c r="L121" s="97"/>
    </row>
    <row r="122" spans="1:12" ht="105.75" customHeight="1" x14ac:dyDescent="0.25">
      <c r="A122" s="88">
        <f>COUNTA($A$5:A120)</f>
        <v>47</v>
      </c>
      <c r="B122" s="87" t="s">
        <v>144</v>
      </c>
      <c r="C122" s="87" t="s">
        <v>108</v>
      </c>
      <c r="D122" s="67">
        <v>514</v>
      </c>
      <c r="E122" s="67">
        <v>1903</v>
      </c>
      <c r="F122" s="83">
        <v>21</v>
      </c>
      <c r="G122" s="116" t="s">
        <v>207</v>
      </c>
      <c r="H122" s="67">
        <f>D122</f>
        <v>514</v>
      </c>
      <c r="I122" s="67">
        <f>E122</f>
        <v>1903</v>
      </c>
      <c r="J122" s="120">
        <v>0.25</v>
      </c>
      <c r="K122" s="110" t="s">
        <v>203</v>
      </c>
      <c r="L122" s="83" t="s">
        <v>195</v>
      </c>
    </row>
    <row r="123" spans="1:12" ht="21.75" customHeight="1" x14ac:dyDescent="0.25">
      <c r="A123" s="88"/>
      <c r="B123" s="116" t="s">
        <v>103</v>
      </c>
      <c r="C123" s="116"/>
      <c r="D123" s="82">
        <f>SUM(D122)</f>
        <v>514</v>
      </c>
      <c r="E123" s="82">
        <f>SUM(E122)</f>
        <v>1903</v>
      </c>
      <c r="F123" s="94"/>
      <c r="G123" s="116"/>
      <c r="H123" s="82">
        <v>456</v>
      </c>
      <c r="I123" s="82">
        <v>1890</v>
      </c>
      <c r="J123" s="120"/>
      <c r="K123" s="112"/>
      <c r="L123" s="104"/>
    </row>
    <row r="124" spans="1:12" ht="63" x14ac:dyDescent="0.25">
      <c r="A124" s="88">
        <f>COUNTA($A$5:A123)</f>
        <v>48</v>
      </c>
      <c r="B124" s="87" t="s">
        <v>210</v>
      </c>
      <c r="C124" s="87" t="s">
        <v>210</v>
      </c>
      <c r="D124" s="67">
        <f>43+2</f>
        <v>45</v>
      </c>
      <c r="E124" s="67">
        <v>172</v>
      </c>
      <c r="F124" s="94"/>
      <c r="G124" s="116" t="s">
        <v>235</v>
      </c>
      <c r="H124" s="67">
        <f t="shared" ref="H124" si="41">D124</f>
        <v>45</v>
      </c>
      <c r="I124" s="67">
        <f t="shared" ref="I124" si="42">E124</f>
        <v>172</v>
      </c>
      <c r="J124" s="120">
        <v>3.74</v>
      </c>
      <c r="K124" s="117" t="s">
        <v>170</v>
      </c>
      <c r="L124" s="117" t="s">
        <v>254</v>
      </c>
    </row>
    <row r="125" spans="1:12" ht="27" customHeight="1" x14ac:dyDescent="0.25">
      <c r="A125" s="88">
        <f>COUNTA($A$5:A124)</f>
        <v>49</v>
      </c>
      <c r="B125" s="87" t="s">
        <v>145</v>
      </c>
      <c r="C125" s="87" t="s">
        <v>107</v>
      </c>
      <c r="D125" s="67">
        <v>337</v>
      </c>
      <c r="E125" s="67">
        <v>1230</v>
      </c>
      <c r="F125" s="116">
        <v>22</v>
      </c>
      <c r="G125" s="116"/>
      <c r="H125" s="67">
        <f t="shared" ref="H125:H126" si="43">D125</f>
        <v>337</v>
      </c>
      <c r="I125" s="67">
        <f t="shared" ref="I125:I126" si="44">E125</f>
        <v>1230</v>
      </c>
      <c r="J125" s="120"/>
      <c r="K125" s="117"/>
      <c r="L125" s="117"/>
    </row>
    <row r="126" spans="1:12" ht="36" customHeight="1" x14ac:dyDescent="0.25">
      <c r="A126" s="88">
        <f>COUNTA($A$5:A125)</f>
        <v>50</v>
      </c>
      <c r="B126" s="87" t="s">
        <v>146</v>
      </c>
      <c r="C126" s="87" t="s">
        <v>109</v>
      </c>
      <c r="D126" s="67">
        <v>70</v>
      </c>
      <c r="E126" s="67">
        <v>269</v>
      </c>
      <c r="F126" s="116"/>
      <c r="G126" s="116"/>
      <c r="H126" s="67">
        <f t="shared" si="43"/>
        <v>70</v>
      </c>
      <c r="I126" s="67">
        <f t="shared" si="44"/>
        <v>269</v>
      </c>
      <c r="J126" s="120"/>
      <c r="K126" s="117"/>
      <c r="L126" s="117"/>
    </row>
    <row r="127" spans="1:12" ht="75.95" customHeight="1" x14ac:dyDescent="0.25">
      <c r="A127" s="88"/>
      <c r="B127" s="116" t="s">
        <v>103</v>
      </c>
      <c r="C127" s="116"/>
      <c r="D127" s="82">
        <f>SUM(D124:D126)</f>
        <v>452</v>
      </c>
      <c r="E127" s="82">
        <f>SUM(E124:E126)</f>
        <v>1671</v>
      </c>
      <c r="F127" s="94"/>
      <c r="G127" s="116"/>
      <c r="H127" s="82">
        <f>SUM(H124:H126)</f>
        <v>452</v>
      </c>
      <c r="I127" s="82">
        <f>SUM(I124:I126)</f>
        <v>1671</v>
      </c>
      <c r="J127" s="120"/>
      <c r="K127" s="117"/>
      <c r="L127" s="117"/>
    </row>
    <row r="128" spans="1:12" ht="57.6" customHeight="1" x14ac:dyDescent="0.25">
      <c r="A128" s="88">
        <f>COUNTA($A$5:A127)</f>
        <v>51</v>
      </c>
      <c r="B128" s="87" t="s">
        <v>147</v>
      </c>
      <c r="C128" s="87" t="s">
        <v>110</v>
      </c>
      <c r="D128" s="67">
        <v>372</v>
      </c>
      <c r="E128" s="67">
        <v>1218</v>
      </c>
      <c r="F128" s="116">
        <v>23</v>
      </c>
      <c r="G128" s="116" t="s">
        <v>110</v>
      </c>
      <c r="H128" s="67">
        <f>D128</f>
        <v>372</v>
      </c>
      <c r="I128" s="67">
        <f>E128</f>
        <v>1218</v>
      </c>
      <c r="J128" s="120">
        <v>9.01</v>
      </c>
      <c r="K128" s="117" t="s">
        <v>160</v>
      </c>
      <c r="L128" s="134" t="s">
        <v>255</v>
      </c>
    </row>
    <row r="129" spans="1:12" ht="57.6" customHeight="1" x14ac:dyDescent="0.25">
      <c r="A129" s="88">
        <f>COUNTA($A$5:A128)</f>
        <v>52</v>
      </c>
      <c r="B129" s="87" t="s">
        <v>142</v>
      </c>
      <c r="C129" s="87" t="s">
        <v>209</v>
      </c>
      <c r="D129" s="86">
        <v>150</v>
      </c>
      <c r="E129" s="86">
        <v>450</v>
      </c>
      <c r="F129" s="116"/>
      <c r="G129" s="116"/>
      <c r="H129" s="67">
        <f>D129</f>
        <v>150</v>
      </c>
      <c r="I129" s="67">
        <f>E129</f>
        <v>450</v>
      </c>
      <c r="J129" s="120"/>
      <c r="K129" s="118"/>
      <c r="L129" s="135"/>
    </row>
    <row r="130" spans="1:12" ht="22.15" customHeight="1" x14ac:dyDescent="0.25">
      <c r="A130" s="88"/>
      <c r="B130" s="116" t="s">
        <v>103</v>
      </c>
      <c r="C130" s="116"/>
      <c r="D130" s="82">
        <f>SUM(D128:D129)</f>
        <v>522</v>
      </c>
      <c r="E130" s="82">
        <f>SUM(E128:E129)</f>
        <v>1668</v>
      </c>
      <c r="F130" s="94"/>
      <c r="G130" s="116"/>
      <c r="H130" s="82">
        <f>SUM(H128:H129)</f>
        <v>522</v>
      </c>
      <c r="I130" s="82">
        <f>SUM(I128:I129)</f>
        <v>1668</v>
      </c>
      <c r="J130" s="120"/>
      <c r="K130" s="118"/>
      <c r="L130" s="135"/>
    </row>
    <row r="131" spans="1:12" ht="70.5" customHeight="1" x14ac:dyDescent="0.25">
      <c r="A131" s="88">
        <f>COUNTA($A$5:A130)</f>
        <v>53</v>
      </c>
      <c r="B131" s="87" t="s">
        <v>211</v>
      </c>
      <c r="C131" s="87" t="s">
        <v>211</v>
      </c>
      <c r="D131" s="67">
        <v>32</v>
      </c>
      <c r="E131" s="67">
        <f>D131*4</f>
        <v>128</v>
      </c>
      <c r="F131" s="116">
        <v>24</v>
      </c>
      <c r="G131" s="116" t="s">
        <v>236</v>
      </c>
      <c r="H131" s="67">
        <f t="shared" ref="H131" si="45">D131</f>
        <v>32</v>
      </c>
      <c r="I131" s="67">
        <f t="shared" ref="I131" si="46">E131</f>
        <v>128</v>
      </c>
      <c r="J131" s="120">
        <v>4.4800000000000004</v>
      </c>
      <c r="K131" s="117" t="s">
        <v>171</v>
      </c>
      <c r="L131" s="117" t="s">
        <v>256</v>
      </c>
    </row>
    <row r="132" spans="1:12" ht="51.95" customHeight="1" x14ac:dyDescent="0.25">
      <c r="A132" s="88">
        <f>COUNTA($A$5:A131)</f>
        <v>54</v>
      </c>
      <c r="B132" s="87" t="s">
        <v>141</v>
      </c>
      <c r="C132" s="87" t="s">
        <v>113</v>
      </c>
      <c r="D132" s="67">
        <v>546</v>
      </c>
      <c r="E132" s="67">
        <v>1960</v>
      </c>
      <c r="F132" s="116"/>
      <c r="G132" s="116"/>
      <c r="H132" s="67">
        <f t="shared" ref="H132" si="47">D132</f>
        <v>546</v>
      </c>
      <c r="I132" s="67">
        <f t="shared" ref="I132" si="48">E132</f>
        <v>1960</v>
      </c>
      <c r="J132" s="120"/>
      <c r="K132" s="117"/>
      <c r="L132" s="117"/>
    </row>
    <row r="133" spans="1:12" ht="67.5" customHeight="1" x14ac:dyDescent="0.25">
      <c r="A133" s="88"/>
      <c r="B133" s="116" t="s">
        <v>103</v>
      </c>
      <c r="C133" s="116"/>
      <c r="D133" s="82">
        <f>SUM(D131:D132)</f>
        <v>578</v>
      </c>
      <c r="E133" s="82">
        <f>SUM(E131:E132)</f>
        <v>2088</v>
      </c>
      <c r="F133" s="94"/>
      <c r="G133" s="116"/>
      <c r="H133" s="82">
        <f>SUM(H131:H132)</f>
        <v>578</v>
      </c>
      <c r="I133" s="82">
        <f>SUM(I131:I132)</f>
        <v>2088</v>
      </c>
      <c r="J133" s="120"/>
      <c r="K133" s="117"/>
      <c r="L133" s="117"/>
    </row>
    <row r="134" spans="1:12" ht="29.25" customHeight="1" x14ac:dyDescent="0.25">
      <c r="A134" s="88">
        <f>COUNTA($A$5:A133)</f>
        <v>55</v>
      </c>
      <c r="B134" s="87" t="s">
        <v>97</v>
      </c>
      <c r="C134" s="87" t="s">
        <v>111</v>
      </c>
      <c r="D134" s="67">
        <v>284</v>
      </c>
      <c r="E134" s="67">
        <v>1007</v>
      </c>
      <c r="F134" s="128">
        <v>25</v>
      </c>
      <c r="G134" s="122" t="s">
        <v>208</v>
      </c>
      <c r="H134" s="67">
        <f t="shared" ref="H134" si="49">D134</f>
        <v>284</v>
      </c>
      <c r="I134" s="67">
        <f t="shared" ref="I134" si="50">E134</f>
        <v>1007</v>
      </c>
      <c r="J134" s="109"/>
      <c r="K134" s="117" t="s">
        <v>220</v>
      </c>
      <c r="L134" s="116" t="s">
        <v>257</v>
      </c>
    </row>
    <row r="135" spans="1:12" ht="215.25" customHeight="1" x14ac:dyDescent="0.25">
      <c r="A135" s="88">
        <f>COUNTA($A$5:A134)</f>
        <v>56</v>
      </c>
      <c r="B135" s="87" t="s">
        <v>96</v>
      </c>
      <c r="C135" s="87" t="s">
        <v>112</v>
      </c>
      <c r="D135" s="67">
        <v>225</v>
      </c>
      <c r="E135" s="67">
        <v>675</v>
      </c>
      <c r="F135" s="128"/>
      <c r="G135" s="122"/>
      <c r="H135" s="67">
        <f t="shared" ref="H135" si="51">D135</f>
        <v>225</v>
      </c>
      <c r="I135" s="67">
        <f t="shared" ref="I135" si="52">E135</f>
        <v>675</v>
      </c>
      <c r="J135" s="109"/>
      <c r="K135" s="117"/>
      <c r="L135" s="116"/>
    </row>
    <row r="136" spans="1:12" ht="27" customHeight="1" x14ac:dyDescent="0.25">
      <c r="A136" s="88">
        <f>COUNTA($A$5:A135)</f>
        <v>57</v>
      </c>
      <c r="B136" s="116" t="s">
        <v>103</v>
      </c>
      <c r="C136" s="116"/>
      <c r="D136" s="82">
        <f>SUM(D134:D135)</f>
        <v>509</v>
      </c>
      <c r="E136" s="82">
        <f>SUM(E134:E135)</f>
        <v>1682</v>
      </c>
      <c r="F136" s="94"/>
      <c r="G136" s="83"/>
      <c r="H136" s="82">
        <f>SUM(H134:H135)</f>
        <v>509</v>
      </c>
      <c r="I136" s="82">
        <f>SUM(I134:I135)</f>
        <v>1682</v>
      </c>
      <c r="J136" s="109"/>
      <c r="K136" s="117"/>
      <c r="L136" s="110"/>
    </row>
    <row r="137" spans="1:12" ht="48.75" customHeight="1" x14ac:dyDescent="0.25">
      <c r="A137" s="88">
        <f>COUNTA($A$5:A136)</f>
        <v>58</v>
      </c>
      <c r="B137" s="87" t="s">
        <v>94</v>
      </c>
      <c r="C137" s="87" t="s">
        <v>84</v>
      </c>
      <c r="D137" s="67">
        <v>489</v>
      </c>
      <c r="E137" s="67">
        <v>1682</v>
      </c>
      <c r="F137" s="83">
        <v>26</v>
      </c>
      <c r="G137" s="116" t="s">
        <v>149</v>
      </c>
      <c r="H137" s="67">
        <f t="shared" ref="H137:H139" si="53">D137</f>
        <v>489</v>
      </c>
      <c r="I137" s="67">
        <f t="shared" ref="I137:I139" si="54">E137</f>
        <v>1682</v>
      </c>
      <c r="J137" s="120">
        <v>0.32</v>
      </c>
      <c r="K137" s="117" t="s">
        <v>216</v>
      </c>
      <c r="L137" s="136" t="s">
        <v>217</v>
      </c>
    </row>
    <row r="138" spans="1:12" ht="37.5" customHeight="1" x14ac:dyDescent="0.25">
      <c r="A138" s="88">
        <f>COUNTA($A$5:A137)</f>
        <v>59</v>
      </c>
      <c r="B138" s="116" t="s">
        <v>103</v>
      </c>
      <c r="C138" s="116"/>
      <c r="D138" s="82">
        <f>D137</f>
        <v>489</v>
      </c>
      <c r="E138" s="82">
        <f>E137</f>
        <v>1682</v>
      </c>
      <c r="F138" s="83"/>
      <c r="G138" s="116"/>
      <c r="H138" s="82">
        <f>H137</f>
        <v>489</v>
      </c>
      <c r="I138" s="82">
        <f>I137</f>
        <v>1682</v>
      </c>
      <c r="J138" s="120"/>
      <c r="K138" s="117"/>
      <c r="L138" s="136"/>
    </row>
    <row r="139" spans="1:12" ht="41.25" customHeight="1" x14ac:dyDescent="0.25">
      <c r="A139" s="88">
        <f>COUNTA($A$5:A138)</f>
        <v>60</v>
      </c>
      <c r="B139" s="87" t="s">
        <v>95</v>
      </c>
      <c r="C139" s="87" t="s">
        <v>85</v>
      </c>
      <c r="D139" s="86">
        <v>533</v>
      </c>
      <c r="E139" s="67">
        <v>1743</v>
      </c>
      <c r="F139" s="83">
        <v>27</v>
      </c>
      <c r="G139" s="116" t="s">
        <v>150</v>
      </c>
      <c r="H139" s="67">
        <f t="shared" si="53"/>
        <v>533</v>
      </c>
      <c r="I139" s="67">
        <f t="shared" si="54"/>
        <v>1743</v>
      </c>
      <c r="J139" s="120">
        <v>2.1800000000000002</v>
      </c>
      <c r="K139" s="117" t="s">
        <v>206</v>
      </c>
      <c r="L139" s="136" t="s">
        <v>237</v>
      </c>
    </row>
    <row r="140" spans="1:12" ht="30.75" customHeight="1" x14ac:dyDescent="0.25">
      <c r="A140" s="88"/>
      <c r="B140" s="116" t="s">
        <v>103</v>
      </c>
      <c r="C140" s="116"/>
      <c r="D140" s="52">
        <f>SUM(D139)</f>
        <v>533</v>
      </c>
      <c r="E140" s="52">
        <f>E139</f>
        <v>1743</v>
      </c>
      <c r="F140" s="94"/>
      <c r="G140" s="116"/>
      <c r="H140" s="82">
        <f>D140</f>
        <v>533</v>
      </c>
      <c r="I140" s="82">
        <f>E140</f>
        <v>1743</v>
      </c>
      <c r="J140" s="120"/>
      <c r="K140" s="117"/>
      <c r="L140" s="136"/>
    </row>
    <row r="141" spans="1:12" ht="34.5" customHeight="1" x14ac:dyDescent="0.25">
      <c r="A141" s="131" t="s">
        <v>238</v>
      </c>
      <c r="B141" s="131"/>
      <c r="C141" s="131"/>
      <c r="D141" s="103">
        <f>D140+D138+D136+D133+D130+D127+D123+D121+D119+D117+D114+D111+D106+D101+D95+D90+D82+D75+D72+D67+D56+D49+D41+D33+D24+D18+D13</f>
        <v>15623</v>
      </c>
      <c r="E141" s="103">
        <f>E140+E138+E136+E133+E130+E127+E123+E121+E119+E117+E114+E111+E106+E101+E95+E90+E82+E75+E72+E67+E56+E49+E41+E33+E24+E18+E13</f>
        <v>56669</v>
      </c>
      <c r="F141" s="103"/>
      <c r="G141" s="103">
        <f>G140+G138+G133+G130+G127+G123+G121+G119+G117+G114+G106+G101+G95+G90+G82+G75+G72+G67+G56+G49+G41+G33+G24+G18+G13</f>
        <v>0</v>
      </c>
      <c r="H141" s="103">
        <f>H140+H138+H136+H133+H130+H127+H123+H121+H119+H117+H114+H111+H106+H101+H95+H90+H82+H75+H72+H67+H56+H49+H41+H33+H24+H18+H13</f>
        <v>15565</v>
      </c>
      <c r="I141" s="103">
        <f>E141</f>
        <v>56669</v>
      </c>
      <c r="J141" s="111">
        <v>41.19</v>
      </c>
      <c r="K141" s="112"/>
      <c r="L141" s="104"/>
    </row>
    <row r="142" spans="1:12" ht="18" customHeight="1" x14ac:dyDescent="0.25">
      <c r="I142" s="105"/>
      <c r="K142" s="100">
        <f>SUM(K140:K141)</f>
        <v>0</v>
      </c>
    </row>
    <row r="143" spans="1:12" ht="18" customHeight="1" x14ac:dyDescent="0.25"/>
    <row r="144" spans="1:12" s="101" customFormat="1" ht="18" customHeight="1" x14ac:dyDescent="0.25">
      <c r="C144" s="77"/>
      <c r="D144" s="78"/>
      <c r="E144" s="78"/>
      <c r="F144" s="79"/>
      <c r="G144" s="80"/>
      <c r="H144" s="105"/>
      <c r="I144" s="78"/>
      <c r="J144" s="106"/>
      <c r="K144" s="100"/>
      <c r="L144" s="91"/>
    </row>
    <row r="150" spans="3:12" s="101" customFormat="1" ht="25.5" customHeight="1" x14ac:dyDescent="0.25">
      <c r="C150" s="77"/>
      <c r="D150" s="78"/>
      <c r="E150" s="78"/>
      <c r="F150" s="79"/>
      <c r="G150" s="80"/>
      <c r="H150" s="105"/>
      <c r="I150" s="78"/>
      <c r="J150" s="106"/>
      <c r="K150" s="100"/>
      <c r="L150" s="91"/>
    </row>
    <row r="151" spans="3:12" s="101" customFormat="1" ht="27" customHeight="1" x14ac:dyDescent="0.25">
      <c r="C151" s="77"/>
      <c r="D151" s="78"/>
      <c r="E151" s="78"/>
      <c r="F151" s="79"/>
      <c r="G151" s="80"/>
      <c r="H151" s="105"/>
      <c r="I151" s="78"/>
      <c r="J151" s="106"/>
      <c r="K151" s="100"/>
      <c r="L151" s="91"/>
    </row>
    <row r="152" spans="3:12" s="101" customFormat="1" ht="18" customHeight="1" x14ac:dyDescent="0.25">
      <c r="C152" s="77"/>
      <c r="D152" s="78"/>
      <c r="E152" s="78"/>
      <c r="F152" s="79"/>
      <c r="G152" s="80"/>
      <c r="H152" s="105"/>
      <c r="I152" s="78"/>
      <c r="J152" s="106"/>
      <c r="K152" s="100"/>
      <c r="L152" s="91"/>
    </row>
    <row r="153" spans="3:12" s="101" customFormat="1" ht="18" customHeight="1" x14ac:dyDescent="0.25">
      <c r="C153" s="77"/>
      <c r="D153" s="78"/>
      <c r="E153" s="78"/>
      <c r="F153" s="79"/>
      <c r="G153" s="80"/>
      <c r="H153" s="105"/>
      <c r="I153" s="78"/>
      <c r="J153" s="106"/>
      <c r="K153" s="100"/>
      <c r="L153" s="91"/>
    </row>
    <row r="154" spans="3:12" s="101" customFormat="1" ht="18" customHeight="1" x14ac:dyDescent="0.25">
      <c r="C154" s="77"/>
      <c r="D154" s="78"/>
      <c r="E154" s="78"/>
      <c r="F154" s="79"/>
      <c r="G154" s="80"/>
      <c r="H154" s="105"/>
      <c r="I154" s="78"/>
      <c r="J154" s="106"/>
      <c r="K154" s="100"/>
      <c r="L154" s="91"/>
    </row>
    <row r="155" spans="3:12" s="101" customFormat="1" ht="18" customHeight="1" x14ac:dyDescent="0.25">
      <c r="C155" s="77"/>
      <c r="D155" s="78"/>
      <c r="E155" s="78"/>
      <c r="F155" s="79"/>
      <c r="G155" s="80"/>
      <c r="H155" s="105"/>
      <c r="I155" s="78"/>
      <c r="J155" s="106"/>
      <c r="K155" s="100"/>
      <c r="L155" s="91"/>
    </row>
    <row r="156" spans="3:12" s="101" customFormat="1" ht="18" customHeight="1" x14ac:dyDescent="0.25">
      <c r="C156" s="77"/>
      <c r="D156" s="78"/>
      <c r="E156" s="78"/>
      <c r="F156" s="79"/>
      <c r="G156" s="80"/>
      <c r="H156" s="105"/>
      <c r="I156" s="78"/>
      <c r="J156" s="106"/>
      <c r="K156" s="100"/>
      <c r="L156" s="91"/>
    </row>
    <row r="157" spans="3:12" s="101" customFormat="1" ht="18" customHeight="1" x14ac:dyDescent="0.25">
      <c r="C157" s="77"/>
      <c r="D157" s="78"/>
      <c r="E157" s="78"/>
      <c r="F157" s="79"/>
      <c r="G157" s="80"/>
      <c r="H157" s="105"/>
      <c r="I157" s="78"/>
      <c r="J157" s="106"/>
      <c r="K157" s="100"/>
      <c r="L157" s="91"/>
    </row>
    <row r="158" spans="3:12" s="101" customFormat="1" ht="18" customHeight="1" x14ac:dyDescent="0.25">
      <c r="C158" s="77"/>
      <c r="D158" s="78"/>
      <c r="E158" s="78"/>
      <c r="F158" s="79"/>
      <c r="G158" s="80"/>
      <c r="H158" s="105"/>
      <c r="I158" s="78"/>
      <c r="J158" s="106"/>
      <c r="K158" s="100"/>
      <c r="L158" s="91"/>
    </row>
    <row r="159" spans="3:12" s="101" customFormat="1" ht="18" customHeight="1" x14ac:dyDescent="0.25">
      <c r="C159" s="77"/>
      <c r="D159" s="78"/>
      <c r="E159" s="78"/>
      <c r="F159" s="79"/>
      <c r="G159" s="80"/>
      <c r="H159" s="105"/>
      <c r="I159" s="78"/>
      <c r="J159" s="106"/>
      <c r="K159" s="100"/>
      <c r="L159" s="91"/>
    </row>
    <row r="160" spans="3:12" s="101" customFormat="1" ht="18" customHeight="1" x14ac:dyDescent="0.25">
      <c r="C160" s="77"/>
      <c r="D160" s="78"/>
      <c r="E160" s="78"/>
      <c r="F160" s="79"/>
      <c r="G160" s="80"/>
      <c r="H160" s="105"/>
      <c r="I160" s="78"/>
      <c r="J160" s="106"/>
      <c r="K160" s="100"/>
      <c r="L160" s="91"/>
    </row>
    <row r="161" spans="3:12" s="101" customFormat="1" ht="18" customHeight="1" x14ac:dyDescent="0.25">
      <c r="C161" s="77"/>
      <c r="D161" s="78"/>
      <c r="E161" s="78"/>
      <c r="F161" s="79"/>
      <c r="G161" s="80"/>
      <c r="H161" s="105"/>
      <c r="I161" s="78"/>
      <c r="J161" s="106"/>
      <c r="K161" s="100"/>
      <c r="L161" s="91"/>
    </row>
    <row r="162" spans="3:12" s="101" customFormat="1" ht="18" customHeight="1" x14ac:dyDescent="0.25">
      <c r="C162" s="77"/>
      <c r="D162" s="78"/>
      <c r="E162" s="78"/>
      <c r="F162" s="79"/>
      <c r="G162" s="80"/>
      <c r="H162" s="105"/>
      <c r="I162" s="78"/>
      <c r="J162" s="106"/>
      <c r="K162" s="100"/>
      <c r="L162" s="91"/>
    </row>
    <row r="163" spans="3:12" s="101" customFormat="1" ht="18" customHeight="1" x14ac:dyDescent="0.25">
      <c r="C163" s="77"/>
      <c r="D163" s="78"/>
      <c r="E163" s="78"/>
      <c r="F163" s="79"/>
      <c r="G163" s="80"/>
      <c r="H163" s="105"/>
      <c r="I163" s="78"/>
      <c r="J163" s="106"/>
      <c r="K163" s="100"/>
      <c r="L163" s="91"/>
    </row>
    <row r="164" spans="3:12" s="101" customFormat="1" ht="36" customHeight="1" x14ac:dyDescent="0.25">
      <c r="C164" s="77"/>
      <c r="D164" s="78"/>
      <c r="E164" s="78"/>
      <c r="F164" s="79"/>
      <c r="G164" s="80"/>
      <c r="H164" s="105"/>
      <c r="I164" s="78"/>
      <c r="J164" s="106"/>
      <c r="K164" s="100"/>
      <c r="L164" s="91"/>
    </row>
    <row r="165" spans="3:12" s="101" customFormat="1" ht="18" customHeight="1" x14ac:dyDescent="0.25">
      <c r="C165" s="77"/>
      <c r="D165" s="78"/>
      <c r="E165" s="78"/>
      <c r="F165" s="79"/>
      <c r="G165" s="80"/>
      <c r="H165" s="105"/>
      <c r="I165" s="78"/>
      <c r="J165" s="106"/>
      <c r="K165" s="100"/>
      <c r="L165" s="91"/>
    </row>
    <row r="166" spans="3:12" s="101" customFormat="1" ht="18" customHeight="1" x14ac:dyDescent="0.25">
      <c r="C166" s="77"/>
      <c r="D166" s="78"/>
      <c r="E166" s="78"/>
      <c r="F166" s="79"/>
      <c r="G166" s="80"/>
      <c r="H166" s="105"/>
      <c r="I166" s="78"/>
      <c r="J166" s="106"/>
      <c r="K166" s="100"/>
      <c r="L166" s="91"/>
    </row>
    <row r="167" spans="3:12" s="101" customFormat="1" ht="18" customHeight="1" x14ac:dyDescent="0.25">
      <c r="C167" s="77"/>
      <c r="D167" s="78"/>
      <c r="E167" s="78"/>
      <c r="F167" s="79"/>
      <c r="G167" s="80"/>
      <c r="H167" s="105"/>
      <c r="I167" s="78"/>
      <c r="J167" s="106"/>
      <c r="K167" s="100"/>
      <c r="L167" s="91"/>
    </row>
    <row r="168" spans="3:12" s="101" customFormat="1" ht="18" customHeight="1" x14ac:dyDescent="0.25">
      <c r="C168" s="77"/>
      <c r="D168" s="78"/>
      <c r="E168" s="78"/>
      <c r="F168" s="79"/>
      <c r="G168" s="80"/>
      <c r="H168" s="105"/>
      <c r="I168" s="78"/>
      <c r="J168" s="106"/>
      <c r="K168" s="100"/>
      <c r="L168" s="91"/>
    </row>
    <row r="169" spans="3:12" s="101" customFormat="1" ht="18" customHeight="1" x14ac:dyDescent="0.25">
      <c r="C169" s="77"/>
      <c r="D169" s="78"/>
      <c r="E169" s="78"/>
      <c r="F169" s="79"/>
      <c r="G169" s="80"/>
      <c r="H169" s="105"/>
      <c r="I169" s="78"/>
      <c r="J169" s="106"/>
      <c r="K169" s="100"/>
      <c r="L169" s="91"/>
    </row>
    <row r="170" spans="3:12" s="101" customFormat="1" ht="18" customHeight="1" x14ac:dyDescent="0.25">
      <c r="C170" s="77"/>
      <c r="D170" s="78"/>
      <c r="E170" s="78"/>
      <c r="F170" s="79"/>
      <c r="G170" s="80"/>
      <c r="H170" s="105"/>
      <c r="I170" s="78"/>
      <c r="J170" s="106"/>
      <c r="K170" s="100"/>
      <c r="L170" s="91"/>
    </row>
    <row r="171" spans="3:12" s="101" customFormat="1" ht="18" customHeight="1" x14ac:dyDescent="0.25">
      <c r="C171" s="77"/>
      <c r="D171" s="78"/>
      <c r="E171" s="78"/>
      <c r="F171" s="79"/>
      <c r="G171" s="80"/>
      <c r="H171" s="105"/>
      <c r="I171" s="78"/>
      <c r="J171" s="106"/>
      <c r="K171" s="100"/>
      <c r="L171" s="91"/>
    </row>
    <row r="172" spans="3:12" s="101" customFormat="1" ht="18" customHeight="1" x14ac:dyDescent="0.25">
      <c r="C172" s="77"/>
      <c r="D172" s="78"/>
      <c r="E172" s="78"/>
      <c r="F172" s="79"/>
      <c r="G172" s="80"/>
      <c r="H172" s="105"/>
      <c r="I172" s="78"/>
      <c r="J172" s="106"/>
      <c r="K172" s="100"/>
      <c r="L172" s="91"/>
    </row>
    <row r="173" spans="3:12" s="101" customFormat="1" ht="18" customHeight="1" x14ac:dyDescent="0.25">
      <c r="C173" s="77"/>
      <c r="D173" s="78"/>
      <c r="E173" s="78"/>
      <c r="F173" s="79"/>
      <c r="G173" s="80"/>
      <c r="H173" s="105"/>
      <c r="I173" s="78"/>
      <c r="J173" s="106"/>
      <c r="K173" s="100"/>
      <c r="L173" s="91"/>
    </row>
    <row r="174" spans="3:12" s="101" customFormat="1" x14ac:dyDescent="0.25">
      <c r="C174" s="77"/>
      <c r="D174" s="78"/>
      <c r="E174" s="78"/>
      <c r="F174" s="79"/>
      <c r="G174" s="80"/>
      <c r="H174" s="105"/>
      <c r="I174" s="78"/>
      <c r="J174" s="106"/>
      <c r="K174" s="100"/>
      <c r="L174" s="91"/>
    </row>
  </sheetData>
  <mergeCells count="217">
    <mergeCell ref="L131:L133"/>
    <mergeCell ref="L134:L135"/>
    <mergeCell ref="L137:L138"/>
    <mergeCell ref="L139:L140"/>
    <mergeCell ref="L68:L72"/>
    <mergeCell ref="L73:L75"/>
    <mergeCell ref="L76:L81"/>
    <mergeCell ref="L83:L89"/>
    <mergeCell ref="L91:L94"/>
    <mergeCell ref="L96:L100"/>
    <mergeCell ref="L102:L105"/>
    <mergeCell ref="L107:L111"/>
    <mergeCell ref="L112:L114"/>
    <mergeCell ref="F128:F129"/>
    <mergeCell ref="B112:B113"/>
    <mergeCell ref="B114:C114"/>
    <mergeCell ref="B24:C24"/>
    <mergeCell ref="F50:F55"/>
    <mergeCell ref="F25:F32"/>
    <mergeCell ref="B50:B52"/>
    <mergeCell ref="L4:L5"/>
    <mergeCell ref="L6:L13"/>
    <mergeCell ref="L14:L17"/>
    <mergeCell ref="L19:L23"/>
    <mergeCell ref="L25:L33"/>
    <mergeCell ref="L34:L41"/>
    <mergeCell ref="L42:L48"/>
    <mergeCell ref="L50:L56"/>
    <mergeCell ref="L57:L67"/>
    <mergeCell ref="L115:L117"/>
    <mergeCell ref="L118:L119"/>
    <mergeCell ref="L124:L127"/>
    <mergeCell ref="L128:L130"/>
    <mergeCell ref="K134:K136"/>
    <mergeCell ref="F102:F105"/>
    <mergeCell ref="J76:J82"/>
    <mergeCell ref="A107:A110"/>
    <mergeCell ref="F107:F110"/>
    <mergeCell ref="B127:C127"/>
    <mergeCell ref="B119:C119"/>
    <mergeCell ref="B123:C123"/>
    <mergeCell ref="B106:C106"/>
    <mergeCell ref="B102:B105"/>
    <mergeCell ref="B108:B110"/>
    <mergeCell ref="K131:K133"/>
    <mergeCell ref="B136:C136"/>
    <mergeCell ref="G134:G135"/>
    <mergeCell ref="F134:F135"/>
    <mergeCell ref="J122:J123"/>
    <mergeCell ref="B111:C111"/>
    <mergeCell ref="G107:G110"/>
    <mergeCell ref="F96:F100"/>
    <mergeCell ref="G102:G105"/>
    <mergeCell ref="G112:G113"/>
    <mergeCell ref="G83:G89"/>
    <mergeCell ref="F115:F116"/>
    <mergeCell ref="F125:F126"/>
    <mergeCell ref="B13:C13"/>
    <mergeCell ref="A4:E4"/>
    <mergeCell ref="F6:F12"/>
    <mergeCell ref="B6:B10"/>
    <mergeCell ref="B101:C101"/>
    <mergeCell ref="B96:B98"/>
    <mergeCell ref="B99:B100"/>
    <mergeCell ref="A96:A98"/>
    <mergeCell ref="A99:A100"/>
    <mergeCell ref="B11:B12"/>
    <mergeCell ref="B14:B17"/>
    <mergeCell ref="A6:A10"/>
    <mergeCell ref="A11:A12"/>
    <mergeCell ref="A19:A21"/>
    <mergeCell ref="B26:B27"/>
    <mergeCell ref="B29:B30"/>
    <mergeCell ref="B31:B32"/>
    <mergeCell ref="F42:F48"/>
    <mergeCell ref="B19:B21"/>
    <mergeCell ref="B53:B54"/>
    <mergeCell ref="A50:A52"/>
    <mergeCell ref="A53:A54"/>
    <mergeCell ref="F34:F40"/>
    <mergeCell ref="A141:C141"/>
    <mergeCell ref="B42:B43"/>
    <mergeCell ref="A26:A27"/>
    <mergeCell ref="A29:A30"/>
    <mergeCell ref="A31:A32"/>
    <mergeCell ref="B38:B39"/>
    <mergeCell ref="A35:A36"/>
    <mergeCell ref="A38:A39"/>
    <mergeCell ref="B47:B48"/>
    <mergeCell ref="B41:C41"/>
    <mergeCell ref="B44:B46"/>
    <mergeCell ref="A42:A43"/>
    <mergeCell ref="A44:A46"/>
    <mergeCell ref="A47:A48"/>
    <mergeCell ref="B49:C49"/>
    <mergeCell ref="B56:C56"/>
    <mergeCell ref="A83:A84"/>
    <mergeCell ref="A85:A89"/>
    <mergeCell ref="B95:C95"/>
    <mergeCell ref="B33:C33"/>
    <mergeCell ref="B35:B36"/>
    <mergeCell ref="B138:C138"/>
    <mergeCell ref="A102:A105"/>
    <mergeCell ref="B140:C140"/>
    <mergeCell ref="K6:K13"/>
    <mergeCell ref="K25:K33"/>
    <mergeCell ref="K34:K40"/>
    <mergeCell ref="F68:F71"/>
    <mergeCell ref="F76:F81"/>
    <mergeCell ref="G14:G17"/>
    <mergeCell ref="G19:G23"/>
    <mergeCell ref="K19:K23"/>
    <mergeCell ref="B91:B94"/>
    <mergeCell ref="B90:C90"/>
    <mergeCell ref="F112:F113"/>
    <mergeCell ref="G137:G138"/>
    <mergeCell ref="G139:G140"/>
    <mergeCell ref="G115:G117"/>
    <mergeCell ref="G118:G119"/>
    <mergeCell ref="G124:G127"/>
    <mergeCell ref="G128:G130"/>
    <mergeCell ref="G131:G133"/>
    <mergeCell ref="J137:J138"/>
    <mergeCell ref="J139:J140"/>
    <mergeCell ref="K4:K5"/>
    <mergeCell ref="J4:J5"/>
    <mergeCell ref="J6:J13"/>
    <mergeCell ref="J25:J33"/>
    <mergeCell ref="J34:J41"/>
    <mergeCell ref="J50:J56"/>
    <mergeCell ref="K14:K17"/>
    <mergeCell ref="G76:G81"/>
    <mergeCell ref="F58:F66"/>
    <mergeCell ref="G68:G71"/>
    <mergeCell ref="K76:K81"/>
    <mergeCell ref="F4:I4"/>
    <mergeCell ref="G73:G75"/>
    <mergeCell ref="G6:G12"/>
    <mergeCell ref="G25:G32"/>
    <mergeCell ref="G34:G40"/>
    <mergeCell ref="G50:G55"/>
    <mergeCell ref="G42:G48"/>
    <mergeCell ref="J42:J48"/>
    <mergeCell ref="J14:J17"/>
    <mergeCell ref="J19:J24"/>
    <mergeCell ref="A3:K3"/>
    <mergeCell ref="H1:K1"/>
    <mergeCell ref="H2:K2"/>
    <mergeCell ref="K115:K117"/>
    <mergeCell ref="K118:K119"/>
    <mergeCell ref="K83:K89"/>
    <mergeCell ref="K91:K94"/>
    <mergeCell ref="K96:K100"/>
    <mergeCell ref="K102:K105"/>
    <mergeCell ref="K112:K114"/>
    <mergeCell ref="K42:K48"/>
    <mergeCell ref="K50:K56"/>
    <mergeCell ref="K73:K75"/>
    <mergeCell ref="J68:J72"/>
    <mergeCell ref="J73:J75"/>
    <mergeCell ref="B117:C117"/>
    <mergeCell ref="J83:J90"/>
    <mergeCell ref="J91:J95"/>
    <mergeCell ref="F83:F89"/>
    <mergeCell ref="F91:F94"/>
    <mergeCell ref="B77:B78"/>
    <mergeCell ref="B79:B81"/>
    <mergeCell ref="B82:C82"/>
    <mergeCell ref="G91:G94"/>
    <mergeCell ref="K137:K138"/>
    <mergeCell ref="K139:K140"/>
    <mergeCell ref="K124:K127"/>
    <mergeCell ref="K128:K130"/>
    <mergeCell ref="J124:J127"/>
    <mergeCell ref="J120:J121"/>
    <mergeCell ref="F131:F132"/>
    <mergeCell ref="K57:K67"/>
    <mergeCell ref="B59:B62"/>
    <mergeCell ref="B65:B66"/>
    <mergeCell ref="G58:G66"/>
    <mergeCell ref="J128:J130"/>
    <mergeCell ref="J131:J133"/>
    <mergeCell ref="K68:K72"/>
    <mergeCell ref="B130:C130"/>
    <mergeCell ref="G96:G100"/>
    <mergeCell ref="B85:B89"/>
    <mergeCell ref="B133:C133"/>
    <mergeCell ref="B69:B70"/>
    <mergeCell ref="B67:C67"/>
    <mergeCell ref="F73:F75"/>
    <mergeCell ref="B57:B58"/>
    <mergeCell ref="B63:B64"/>
    <mergeCell ref="B72:C72"/>
    <mergeCell ref="B75:C75"/>
    <mergeCell ref="K107:K111"/>
    <mergeCell ref="F14:F17"/>
    <mergeCell ref="F19:F23"/>
    <mergeCell ref="B121:C121"/>
    <mergeCell ref="G122:G123"/>
    <mergeCell ref="A112:A113"/>
    <mergeCell ref="J57:J67"/>
    <mergeCell ref="J96:J101"/>
    <mergeCell ref="J102:J106"/>
    <mergeCell ref="J112:J114"/>
    <mergeCell ref="J115:J117"/>
    <mergeCell ref="J118:J119"/>
    <mergeCell ref="B18:C18"/>
    <mergeCell ref="A77:A78"/>
    <mergeCell ref="A79:A81"/>
    <mergeCell ref="A91:A94"/>
    <mergeCell ref="B83:B84"/>
    <mergeCell ref="A57:A58"/>
    <mergeCell ref="A59:A62"/>
    <mergeCell ref="A63:A64"/>
    <mergeCell ref="A65:A66"/>
    <mergeCell ref="A69:A70"/>
    <mergeCell ref="A14:A17"/>
  </mergeCells>
  <phoneticPr fontId="4" type="noConversion"/>
  <pageMargins left="0.25" right="0.51" top="0.5" bottom="0.25" header="0.3" footer="0.17"/>
  <pageSetup paperSize="9" scale="65" fitToHeight="0" orientation="landscape" r:id="rId1"/>
  <headerFooter>
    <oddFooter>&amp;CTrang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1"/>
  <sheetViews>
    <sheetView zoomScale="70" zoomScaleNormal="70" workbookViewId="0">
      <selection activeCell="G22" sqref="G22:G29"/>
    </sheetView>
  </sheetViews>
  <sheetFormatPr defaultColWidth="9.140625" defaultRowHeight="15.75" x14ac:dyDescent="0.25"/>
  <cols>
    <col min="1" max="1" width="6.140625" style="9" customWidth="1"/>
    <col min="2" max="2" width="16.85546875" style="9" customWidth="1"/>
    <col min="3" max="3" width="18" style="34" customWidth="1"/>
    <col min="4" max="4" width="8" style="10" bestFit="1" customWidth="1"/>
    <col min="5" max="5" width="8.85546875" style="10" customWidth="1"/>
    <col min="6" max="6" width="6.7109375" style="36" customWidth="1"/>
    <col min="7" max="7" width="45.42578125" style="4" customWidth="1"/>
    <col min="8" max="8" width="8" style="11" bestFit="1" customWidth="1"/>
    <col min="9" max="9" width="8.140625" style="10" bestFit="1" customWidth="1"/>
    <col min="10" max="16384" width="9.140625" style="4"/>
  </cols>
  <sheetData>
    <row r="1" spans="1:9" ht="35.25" customHeight="1" x14ac:dyDescent="0.25">
      <c r="A1" s="137" t="s">
        <v>100</v>
      </c>
      <c r="B1" s="138"/>
      <c r="C1" s="138"/>
      <c r="D1" s="138"/>
      <c r="E1" s="139"/>
      <c r="F1" s="137" t="s">
        <v>116</v>
      </c>
      <c r="G1" s="138"/>
      <c r="H1" s="138"/>
      <c r="I1" s="139"/>
    </row>
    <row r="2" spans="1:9" s="5" customFormat="1" ht="53.25" customHeight="1" x14ac:dyDescent="0.25">
      <c r="A2" s="45" t="s">
        <v>101</v>
      </c>
      <c r="B2" s="31" t="s">
        <v>102</v>
      </c>
      <c r="C2" s="37" t="s">
        <v>83</v>
      </c>
      <c r="D2" s="14" t="s">
        <v>98</v>
      </c>
      <c r="E2" s="14" t="s">
        <v>99</v>
      </c>
      <c r="F2" s="40" t="s">
        <v>101</v>
      </c>
      <c r="G2" s="40" t="s">
        <v>165</v>
      </c>
      <c r="H2" s="14" t="s">
        <v>98</v>
      </c>
      <c r="I2" s="14" t="s">
        <v>99</v>
      </c>
    </row>
    <row r="3" spans="1:9" ht="21.75" customHeight="1" x14ac:dyDescent="0.25">
      <c r="A3" s="146">
        <f>COUNTA($A$2:A2)</f>
        <v>1</v>
      </c>
      <c r="B3" s="152" t="s">
        <v>117</v>
      </c>
      <c r="C3" s="35" t="s">
        <v>2</v>
      </c>
      <c r="D3" s="16">
        <v>69</v>
      </c>
      <c r="E3" s="16">
        <v>307</v>
      </c>
      <c r="F3" s="152">
        <f>COUNTA(F$2:$F2)</f>
        <v>1</v>
      </c>
      <c r="G3" s="153" t="s">
        <v>193</v>
      </c>
      <c r="H3" s="16">
        <f>D3</f>
        <v>69</v>
      </c>
      <c r="I3" s="16">
        <f>E3</f>
        <v>307</v>
      </c>
    </row>
    <row r="4" spans="1:9" ht="21.75" customHeight="1" x14ac:dyDescent="0.25">
      <c r="A4" s="146"/>
      <c r="B4" s="152"/>
      <c r="C4" s="35" t="s">
        <v>3</v>
      </c>
      <c r="D4" s="16">
        <v>62</v>
      </c>
      <c r="E4" s="16">
        <v>228</v>
      </c>
      <c r="F4" s="152"/>
      <c r="G4" s="153"/>
      <c r="H4" s="16">
        <f t="shared" ref="H4:I9" si="0">D4</f>
        <v>62</v>
      </c>
      <c r="I4" s="16">
        <f t="shared" si="0"/>
        <v>228</v>
      </c>
    </row>
    <row r="5" spans="1:9" ht="21.75" customHeight="1" x14ac:dyDescent="0.25">
      <c r="A5" s="146"/>
      <c r="B5" s="152"/>
      <c r="C5" s="35" t="s">
        <v>4</v>
      </c>
      <c r="D5" s="16">
        <v>107</v>
      </c>
      <c r="E5" s="16">
        <v>454</v>
      </c>
      <c r="F5" s="152"/>
      <c r="G5" s="153"/>
      <c r="H5" s="16">
        <f t="shared" si="0"/>
        <v>107</v>
      </c>
      <c r="I5" s="16">
        <f t="shared" si="0"/>
        <v>454</v>
      </c>
    </row>
    <row r="6" spans="1:9" ht="21.75" customHeight="1" x14ac:dyDescent="0.25">
      <c r="A6" s="146"/>
      <c r="B6" s="152"/>
      <c r="C6" s="35" t="s">
        <v>5</v>
      </c>
      <c r="D6" s="16">
        <v>103</v>
      </c>
      <c r="E6" s="16">
        <v>362</v>
      </c>
      <c r="F6" s="152"/>
      <c r="G6" s="153"/>
      <c r="H6" s="16">
        <f t="shared" si="0"/>
        <v>103</v>
      </c>
      <c r="I6" s="16">
        <f t="shared" si="0"/>
        <v>362</v>
      </c>
    </row>
    <row r="7" spans="1:9" ht="21.75" customHeight="1" x14ac:dyDescent="0.25">
      <c r="A7" s="146"/>
      <c r="B7" s="152"/>
      <c r="C7" s="35" t="s">
        <v>6</v>
      </c>
      <c r="D7" s="16">
        <v>97</v>
      </c>
      <c r="E7" s="16">
        <v>399</v>
      </c>
      <c r="F7" s="152"/>
      <c r="G7" s="153"/>
      <c r="H7" s="16">
        <f t="shared" si="0"/>
        <v>97</v>
      </c>
      <c r="I7" s="16">
        <f t="shared" si="0"/>
        <v>399</v>
      </c>
    </row>
    <row r="8" spans="1:9" ht="21.75" customHeight="1" x14ac:dyDescent="0.25">
      <c r="A8" s="146">
        <f>COUNTA($A$2:A7)</f>
        <v>2</v>
      </c>
      <c r="B8" s="152" t="s">
        <v>86</v>
      </c>
      <c r="C8" s="35" t="s">
        <v>7</v>
      </c>
      <c r="D8" s="16">
        <v>81</v>
      </c>
      <c r="E8" s="16">
        <v>305</v>
      </c>
      <c r="F8" s="152"/>
      <c r="G8" s="153"/>
      <c r="H8" s="16">
        <f t="shared" si="0"/>
        <v>81</v>
      </c>
      <c r="I8" s="16">
        <f t="shared" si="0"/>
        <v>305</v>
      </c>
    </row>
    <row r="9" spans="1:9" ht="21.75" customHeight="1" x14ac:dyDescent="0.25">
      <c r="A9" s="146"/>
      <c r="B9" s="152"/>
      <c r="C9" s="1" t="s">
        <v>8</v>
      </c>
      <c r="D9" s="16">
        <v>90</v>
      </c>
      <c r="E9" s="16">
        <v>375</v>
      </c>
      <c r="F9" s="152"/>
      <c r="G9" s="153"/>
      <c r="H9" s="16">
        <f t="shared" si="0"/>
        <v>90</v>
      </c>
      <c r="I9" s="16">
        <f t="shared" si="0"/>
        <v>375</v>
      </c>
    </row>
    <row r="10" spans="1:9" ht="21" customHeight="1" x14ac:dyDescent="0.25">
      <c r="A10" s="15"/>
      <c r="B10" s="153" t="s">
        <v>103</v>
      </c>
      <c r="C10" s="153"/>
      <c r="D10" s="14">
        <f>SUM(D3:D9)</f>
        <v>609</v>
      </c>
      <c r="E10" s="14">
        <f>SUM(E3:E9)</f>
        <v>2430</v>
      </c>
      <c r="F10" s="40"/>
      <c r="G10" s="7"/>
      <c r="H10" s="14">
        <f>SUM(H3:H9)</f>
        <v>609</v>
      </c>
      <c r="I10" s="14">
        <f>SUM(I3:I9)</f>
        <v>2430</v>
      </c>
    </row>
    <row r="11" spans="1:9" ht="24" customHeight="1" x14ac:dyDescent="0.25">
      <c r="A11" s="146">
        <f>COUNTA($A$2:A10)</f>
        <v>3</v>
      </c>
      <c r="B11" s="147" t="s">
        <v>118</v>
      </c>
      <c r="C11" s="35" t="s">
        <v>9</v>
      </c>
      <c r="D11" s="19">
        <v>107</v>
      </c>
      <c r="E11" s="19">
        <v>329</v>
      </c>
      <c r="F11" s="149">
        <v>2</v>
      </c>
      <c r="G11" s="149" t="s">
        <v>212</v>
      </c>
      <c r="H11" s="19">
        <f>D11</f>
        <v>107</v>
      </c>
      <c r="I11" s="19">
        <f>E11</f>
        <v>329</v>
      </c>
    </row>
    <row r="12" spans="1:9" ht="21.75" customHeight="1" x14ac:dyDescent="0.25">
      <c r="A12" s="146"/>
      <c r="B12" s="148"/>
      <c r="C12" s="35" t="s">
        <v>10</v>
      </c>
      <c r="D12" s="16">
        <f>126+8</f>
        <v>134</v>
      </c>
      <c r="E12" s="16">
        <f>415+21</f>
        <v>436</v>
      </c>
      <c r="F12" s="150"/>
      <c r="G12" s="150"/>
      <c r="H12" s="19">
        <f t="shared" ref="H12:I20" si="1">D12</f>
        <v>134</v>
      </c>
      <c r="I12" s="19">
        <f t="shared" si="1"/>
        <v>436</v>
      </c>
    </row>
    <row r="13" spans="1:9" ht="35.25" customHeight="1" x14ac:dyDescent="0.25">
      <c r="A13" s="146"/>
      <c r="B13" s="148"/>
      <c r="C13" s="1" t="s">
        <v>11</v>
      </c>
      <c r="D13" s="19">
        <f>122+32</f>
        <v>154</v>
      </c>
      <c r="E13" s="47">
        <f>423+96</f>
        <v>519</v>
      </c>
      <c r="F13" s="150"/>
      <c r="G13" s="150"/>
      <c r="H13" s="19">
        <f t="shared" si="1"/>
        <v>154</v>
      </c>
      <c r="I13" s="19">
        <f t="shared" si="1"/>
        <v>519</v>
      </c>
    </row>
    <row r="14" spans="1:9" ht="31.5" customHeight="1" x14ac:dyDescent="0.25">
      <c r="A14" s="146"/>
      <c r="B14" s="148"/>
      <c r="C14" s="1" t="s">
        <v>12</v>
      </c>
      <c r="D14" s="19">
        <v>62</v>
      </c>
      <c r="E14" s="47">
        <v>216</v>
      </c>
      <c r="F14" s="151"/>
      <c r="G14" s="151"/>
      <c r="H14" s="47">
        <f t="shared" si="1"/>
        <v>62</v>
      </c>
      <c r="I14" s="47">
        <f t="shared" si="1"/>
        <v>216</v>
      </c>
    </row>
    <row r="15" spans="1:9" ht="21.75" customHeight="1" x14ac:dyDescent="0.25">
      <c r="A15" s="15"/>
      <c r="B15" s="153" t="s">
        <v>103</v>
      </c>
      <c r="C15" s="153"/>
      <c r="D15" s="21">
        <f>SUM(D11:D14)</f>
        <v>457</v>
      </c>
      <c r="E15" s="21">
        <f>SUM(E11:E14)</f>
        <v>1500</v>
      </c>
      <c r="F15" s="40"/>
      <c r="G15" s="31"/>
      <c r="H15" s="14">
        <f>SUM(H11:H14)</f>
        <v>457</v>
      </c>
      <c r="I15" s="14">
        <f>SUM(I11:I14)</f>
        <v>1500</v>
      </c>
    </row>
    <row r="16" spans="1:9" ht="21.75" customHeight="1" x14ac:dyDescent="0.25">
      <c r="A16" s="146">
        <f>COUNTA($A$2:A14)</f>
        <v>4</v>
      </c>
      <c r="B16" s="147" t="s">
        <v>119</v>
      </c>
      <c r="C16" s="35" t="s">
        <v>13</v>
      </c>
      <c r="D16" s="16">
        <v>125</v>
      </c>
      <c r="E16" s="25">
        <v>456</v>
      </c>
      <c r="F16" s="149">
        <v>3</v>
      </c>
      <c r="G16" s="149" t="s">
        <v>213</v>
      </c>
      <c r="H16" s="27">
        <f t="shared" si="1"/>
        <v>125</v>
      </c>
      <c r="I16" s="27">
        <f t="shared" si="1"/>
        <v>456</v>
      </c>
    </row>
    <row r="17" spans="1:9" ht="21.75" customHeight="1" x14ac:dyDescent="0.25">
      <c r="A17" s="146"/>
      <c r="B17" s="148"/>
      <c r="C17" s="35" t="s">
        <v>14</v>
      </c>
      <c r="D17" s="16">
        <v>116</v>
      </c>
      <c r="E17" s="16">
        <v>420</v>
      </c>
      <c r="F17" s="150"/>
      <c r="G17" s="150"/>
      <c r="H17" s="19">
        <f t="shared" si="1"/>
        <v>116</v>
      </c>
      <c r="I17" s="19">
        <f t="shared" si="1"/>
        <v>420</v>
      </c>
    </row>
    <row r="18" spans="1:9" ht="21.75" customHeight="1" x14ac:dyDescent="0.25">
      <c r="A18" s="146"/>
      <c r="B18" s="148"/>
      <c r="C18" s="35" t="s">
        <v>15</v>
      </c>
      <c r="D18" s="16">
        <v>133</v>
      </c>
      <c r="E18" s="16">
        <v>355</v>
      </c>
      <c r="F18" s="150"/>
      <c r="G18" s="150"/>
      <c r="H18" s="19">
        <f t="shared" si="1"/>
        <v>133</v>
      </c>
      <c r="I18" s="19">
        <f t="shared" si="1"/>
        <v>355</v>
      </c>
    </row>
    <row r="19" spans="1:9" ht="35.25" customHeight="1" x14ac:dyDescent="0.25">
      <c r="A19" s="15">
        <f>COUNTA($A$2:A18)</f>
        <v>5</v>
      </c>
      <c r="B19" s="1" t="s">
        <v>120</v>
      </c>
      <c r="C19" s="35" t="s">
        <v>23</v>
      </c>
      <c r="D19" s="16">
        <v>26</v>
      </c>
      <c r="E19" s="16">
        <v>110</v>
      </c>
      <c r="F19" s="150"/>
      <c r="G19" s="150"/>
      <c r="H19" s="19">
        <f t="shared" si="1"/>
        <v>26</v>
      </c>
      <c r="I19" s="19">
        <f t="shared" si="1"/>
        <v>110</v>
      </c>
    </row>
    <row r="20" spans="1:9" ht="35.25" customHeight="1" x14ac:dyDescent="0.25">
      <c r="A20" s="15">
        <f>COUNTA($A$2:A19)</f>
        <v>6</v>
      </c>
      <c r="B20" s="1" t="s">
        <v>121</v>
      </c>
      <c r="C20" s="35" t="s">
        <v>26</v>
      </c>
      <c r="D20" s="16">
        <v>63</v>
      </c>
      <c r="E20" s="16">
        <v>189</v>
      </c>
      <c r="F20" s="151"/>
      <c r="G20" s="151"/>
      <c r="H20" s="19">
        <f t="shared" si="1"/>
        <v>63</v>
      </c>
      <c r="I20" s="19">
        <f t="shared" si="1"/>
        <v>189</v>
      </c>
    </row>
    <row r="21" spans="1:9" ht="21.75" customHeight="1" x14ac:dyDescent="0.25">
      <c r="A21" s="15"/>
      <c r="B21" s="137" t="s">
        <v>103</v>
      </c>
      <c r="C21" s="138"/>
      <c r="D21" s="21">
        <f>SUM(D16:D20)</f>
        <v>463</v>
      </c>
      <c r="E21" s="21">
        <f t="shared" ref="E21:I21" si="2">SUM(E16:E20)</f>
        <v>1530</v>
      </c>
      <c r="F21" s="21"/>
      <c r="G21" s="21">
        <f t="shared" si="2"/>
        <v>0</v>
      </c>
      <c r="H21" s="21">
        <f t="shared" si="2"/>
        <v>463</v>
      </c>
      <c r="I21" s="21">
        <f t="shared" si="2"/>
        <v>1530</v>
      </c>
    </row>
    <row r="22" spans="1:9" s="3" customFormat="1" ht="42" customHeight="1" x14ac:dyDescent="0.25">
      <c r="A22" s="41">
        <f>COUNTA($A$2:A21)</f>
        <v>7</v>
      </c>
      <c r="B22" s="1" t="s">
        <v>122</v>
      </c>
      <c r="C22" s="15" t="s">
        <v>16</v>
      </c>
      <c r="D22" s="16">
        <v>75</v>
      </c>
      <c r="E22" s="16">
        <v>325</v>
      </c>
      <c r="F22" s="140">
        <v>4</v>
      </c>
      <c r="G22" s="149" t="s">
        <v>180</v>
      </c>
      <c r="H22" s="16">
        <f>D22</f>
        <v>75</v>
      </c>
      <c r="I22" s="16">
        <f>E22</f>
        <v>325</v>
      </c>
    </row>
    <row r="23" spans="1:9" s="5" customFormat="1" ht="21" customHeight="1" x14ac:dyDescent="0.25">
      <c r="A23" s="146">
        <f>COUNTA($A$2:A22)</f>
        <v>8</v>
      </c>
      <c r="B23" s="147" t="s">
        <v>123</v>
      </c>
      <c r="C23" s="35" t="s">
        <v>23</v>
      </c>
      <c r="D23" s="19">
        <v>4</v>
      </c>
      <c r="E23" s="16">
        <v>15</v>
      </c>
      <c r="F23" s="141"/>
      <c r="G23" s="150"/>
      <c r="H23" s="16">
        <f t="shared" ref="H23:I29" si="3">D23</f>
        <v>4</v>
      </c>
      <c r="I23" s="16">
        <f t="shared" si="3"/>
        <v>15</v>
      </c>
    </row>
    <row r="24" spans="1:9" s="5" customFormat="1" ht="21" customHeight="1" x14ac:dyDescent="0.25">
      <c r="A24" s="146"/>
      <c r="B24" s="148"/>
      <c r="C24" s="35" t="s">
        <v>25</v>
      </c>
      <c r="D24" s="19">
        <v>99</v>
      </c>
      <c r="E24" s="16">
        <v>452</v>
      </c>
      <c r="F24" s="141"/>
      <c r="G24" s="150"/>
      <c r="H24" s="16">
        <f t="shared" si="3"/>
        <v>99</v>
      </c>
      <c r="I24" s="16">
        <f t="shared" si="3"/>
        <v>452</v>
      </c>
    </row>
    <row r="25" spans="1:9" s="5" customFormat="1" ht="36" customHeight="1" x14ac:dyDescent="0.25">
      <c r="A25" s="15">
        <f>COUNTA($A$2:A24)</f>
        <v>9</v>
      </c>
      <c r="B25" s="1" t="s">
        <v>121</v>
      </c>
      <c r="C25" s="35" t="s">
        <v>26</v>
      </c>
      <c r="D25" s="19">
        <v>40</v>
      </c>
      <c r="E25" s="16">
        <v>168</v>
      </c>
      <c r="F25" s="141"/>
      <c r="G25" s="150"/>
      <c r="H25" s="16">
        <f t="shared" si="3"/>
        <v>40</v>
      </c>
      <c r="I25" s="16">
        <f t="shared" si="3"/>
        <v>168</v>
      </c>
    </row>
    <row r="26" spans="1:9" s="5" customFormat="1" ht="21" customHeight="1" x14ac:dyDescent="0.25">
      <c r="A26" s="146">
        <f>COUNTA($A$2:A25)</f>
        <v>10</v>
      </c>
      <c r="B26" s="152" t="s">
        <v>121</v>
      </c>
      <c r="C26" s="35" t="s">
        <v>27</v>
      </c>
      <c r="D26" s="19">
        <v>153</v>
      </c>
      <c r="E26" s="16">
        <v>595</v>
      </c>
      <c r="F26" s="141"/>
      <c r="G26" s="150"/>
      <c r="H26" s="16">
        <f t="shared" si="3"/>
        <v>153</v>
      </c>
      <c r="I26" s="16">
        <f t="shared" si="3"/>
        <v>595</v>
      </c>
    </row>
    <row r="27" spans="1:9" s="5" customFormat="1" ht="21" customHeight="1" x14ac:dyDescent="0.25">
      <c r="A27" s="146"/>
      <c r="B27" s="152"/>
      <c r="C27" s="35" t="s">
        <v>28</v>
      </c>
      <c r="D27" s="19">
        <v>161</v>
      </c>
      <c r="E27" s="16">
        <v>624</v>
      </c>
      <c r="F27" s="141"/>
      <c r="G27" s="150"/>
      <c r="H27" s="16">
        <f t="shared" si="3"/>
        <v>161</v>
      </c>
      <c r="I27" s="16">
        <f t="shared" si="3"/>
        <v>624</v>
      </c>
    </row>
    <row r="28" spans="1:9" s="5" customFormat="1" ht="21" customHeight="1" x14ac:dyDescent="0.25">
      <c r="A28" s="146">
        <f>COUNTA($A$2:A27)</f>
        <v>11</v>
      </c>
      <c r="B28" s="152" t="s">
        <v>133</v>
      </c>
      <c r="C28" s="35" t="s">
        <v>29</v>
      </c>
      <c r="D28" s="19">
        <v>85</v>
      </c>
      <c r="E28" s="16">
        <v>431</v>
      </c>
      <c r="F28" s="141"/>
      <c r="G28" s="150"/>
      <c r="H28" s="16">
        <f t="shared" si="3"/>
        <v>85</v>
      </c>
      <c r="I28" s="16">
        <f t="shared" si="3"/>
        <v>431</v>
      </c>
    </row>
    <row r="29" spans="1:9" s="5" customFormat="1" ht="21" customHeight="1" x14ac:dyDescent="0.25">
      <c r="A29" s="146"/>
      <c r="B29" s="152"/>
      <c r="C29" s="35" t="s">
        <v>30</v>
      </c>
      <c r="D29" s="19">
        <f>132+2</f>
        <v>134</v>
      </c>
      <c r="E29" s="16">
        <f>515+2</f>
        <v>517</v>
      </c>
      <c r="F29" s="142"/>
      <c r="G29" s="151"/>
      <c r="H29" s="16">
        <f t="shared" si="3"/>
        <v>134</v>
      </c>
      <c r="I29" s="16">
        <f t="shared" si="3"/>
        <v>517</v>
      </c>
    </row>
    <row r="30" spans="1:9" s="6" customFormat="1" ht="21" customHeight="1" x14ac:dyDescent="0.25">
      <c r="A30" s="1"/>
      <c r="B30" s="137" t="s">
        <v>103</v>
      </c>
      <c r="C30" s="138"/>
      <c r="D30" s="14">
        <f>SUM(D22:D29)</f>
        <v>751</v>
      </c>
      <c r="E30" s="14">
        <f t="shared" ref="E30" si="4">SUM(E22:E29)</f>
        <v>3127</v>
      </c>
      <c r="F30" s="14"/>
      <c r="G30" s="20"/>
      <c r="H30" s="14">
        <f t="shared" ref="H30:I30" si="5">SUM(H22:H29)</f>
        <v>751</v>
      </c>
      <c r="I30" s="14">
        <f t="shared" si="5"/>
        <v>3127</v>
      </c>
    </row>
    <row r="31" spans="1:9" s="5" customFormat="1" ht="27.75" customHeight="1" x14ac:dyDescent="0.25">
      <c r="A31" s="41">
        <f>COUNTA($A$2:A30)</f>
        <v>12</v>
      </c>
      <c r="B31" s="1" t="s">
        <v>120</v>
      </c>
      <c r="C31" s="35" t="s">
        <v>23</v>
      </c>
      <c r="D31" s="19">
        <v>40</v>
      </c>
      <c r="E31" s="19">
        <v>180</v>
      </c>
      <c r="F31" s="140">
        <v>5</v>
      </c>
      <c r="G31" s="140" t="s">
        <v>181</v>
      </c>
      <c r="H31" s="19">
        <f>D31</f>
        <v>40</v>
      </c>
      <c r="I31" s="19">
        <f>E31</f>
        <v>180</v>
      </c>
    </row>
    <row r="32" spans="1:9" s="5" customFormat="1" ht="21" customHeight="1" x14ac:dyDescent="0.25">
      <c r="A32" s="155">
        <f>COUNTA($A$2:A31)</f>
        <v>13</v>
      </c>
      <c r="B32" s="147" t="s">
        <v>124</v>
      </c>
      <c r="C32" s="35" t="s">
        <v>31</v>
      </c>
      <c r="D32" s="19">
        <v>73</v>
      </c>
      <c r="E32" s="16">
        <v>296</v>
      </c>
      <c r="F32" s="141"/>
      <c r="G32" s="141"/>
      <c r="H32" s="19">
        <f t="shared" ref="H32:I37" si="6">D32</f>
        <v>73</v>
      </c>
      <c r="I32" s="19">
        <f t="shared" si="6"/>
        <v>296</v>
      </c>
    </row>
    <row r="33" spans="1:9" ht="21" customHeight="1" x14ac:dyDescent="0.25">
      <c r="A33" s="155"/>
      <c r="B33" s="148"/>
      <c r="C33" s="35" t="s">
        <v>32</v>
      </c>
      <c r="D33" s="19">
        <v>81</v>
      </c>
      <c r="E33" s="16">
        <v>358</v>
      </c>
      <c r="F33" s="141"/>
      <c r="G33" s="141"/>
      <c r="H33" s="19">
        <f t="shared" si="6"/>
        <v>81</v>
      </c>
      <c r="I33" s="19">
        <f t="shared" si="6"/>
        <v>358</v>
      </c>
    </row>
    <row r="34" spans="1:9" ht="21" customHeight="1" x14ac:dyDescent="0.25">
      <c r="A34" s="41">
        <f>COUNTA($A$2:A33)</f>
        <v>14</v>
      </c>
      <c r="B34" s="22" t="s">
        <v>125</v>
      </c>
      <c r="C34" s="35" t="s">
        <v>33</v>
      </c>
      <c r="D34" s="19">
        <v>87</v>
      </c>
      <c r="E34" s="16">
        <v>387</v>
      </c>
      <c r="F34" s="141"/>
      <c r="G34" s="141"/>
      <c r="H34" s="19">
        <f t="shared" si="6"/>
        <v>87</v>
      </c>
      <c r="I34" s="19">
        <f t="shared" si="6"/>
        <v>387</v>
      </c>
    </row>
    <row r="35" spans="1:9" ht="21" customHeight="1" x14ac:dyDescent="0.25">
      <c r="A35" s="155">
        <f>COUNTA($A$2:A34)</f>
        <v>15</v>
      </c>
      <c r="B35" s="152" t="s">
        <v>126</v>
      </c>
      <c r="C35" s="35" t="s">
        <v>34</v>
      </c>
      <c r="D35" s="19">
        <v>66</v>
      </c>
      <c r="E35" s="16">
        <v>286</v>
      </c>
      <c r="F35" s="141"/>
      <c r="G35" s="141"/>
      <c r="H35" s="19">
        <f t="shared" si="6"/>
        <v>66</v>
      </c>
      <c r="I35" s="19">
        <f t="shared" si="6"/>
        <v>286</v>
      </c>
    </row>
    <row r="36" spans="1:9" ht="21" customHeight="1" x14ac:dyDescent="0.25">
      <c r="A36" s="155"/>
      <c r="B36" s="152"/>
      <c r="C36" s="35" t="s">
        <v>35</v>
      </c>
      <c r="D36" s="19">
        <v>70</v>
      </c>
      <c r="E36" s="16">
        <v>354</v>
      </c>
      <c r="F36" s="141"/>
      <c r="G36" s="141"/>
      <c r="H36" s="19">
        <f t="shared" si="6"/>
        <v>70</v>
      </c>
      <c r="I36" s="19">
        <f t="shared" si="6"/>
        <v>354</v>
      </c>
    </row>
    <row r="37" spans="1:9" ht="21" customHeight="1" x14ac:dyDescent="0.25">
      <c r="A37" s="41">
        <f>COUNTA($A$2:A36)</f>
        <v>16</v>
      </c>
      <c r="B37" s="1" t="s">
        <v>127</v>
      </c>
      <c r="C37" s="35" t="s">
        <v>36</v>
      </c>
      <c r="D37" s="19">
        <v>191</v>
      </c>
      <c r="E37" s="16">
        <v>892</v>
      </c>
      <c r="F37" s="142"/>
      <c r="G37" s="142"/>
      <c r="H37" s="19">
        <f t="shared" si="6"/>
        <v>191</v>
      </c>
      <c r="I37" s="19">
        <f t="shared" si="6"/>
        <v>892</v>
      </c>
    </row>
    <row r="38" spans="1:9" s="8" customFormat="1" ht="37.5" customHeight="1" x14ac:dyDescent="0.25">
      <c r="A38" s="1"/>
      <c r="B38" s="137" t="s">
        <v>103</v>
      </c>
      <c r="C38" s="138"/>
      <c r="D38" s="14">
        <f>SUM(D31:D37)</f>
        <v>608</v>
      </c>
      <c r="E38" s="14">
        <f>SUM(E31:E37)</f>
        <v>2753</v>
      </c>
      <c r="F38" s="20"/>
      <c r="G38" s="20"/>
      <c r="H38" s="14">
        <f>SUM(H31:H37)</f>
        <v>608</v>
      </c>
      <c r="I38" s="14">
        <f t="shared" ref="I38" si="7">SUM(I31:I37)</f>
        <v>2753</v>
      </c>
    </row>
    <row r="39" spans="1:9" ht="21" customHeight="1" x14ac:dyDescent="0.25">
      <c r="A39" s="154">
        <f>COUNTA($A$2:A38)</f>
        <v>17</v>
      </c>
      <c r="B39" s="152" t="s">
        <v>128</v>
      </c>
      <c r="C39" s="35" t="s">
        <v>0</v>
      </c>
      <c r="D39" s="19">
        <v>65</v>
      </c>
      <c r="E39" s="16">
        <v>272</v>
      </c>
      <c r="F39" s="149">
        <v>6</v>
      </c>
      <c r="G39" s="149" t="s">
        <v>182</v>
      </c>
      <c r="H39" s="19">
        <f>D39</f>
        <v>65</v>
      </c>
      <c r="I39" s="16">
        <f>E39</f>
        <v>272</v>
      </c>
    </row>
    <row r="40" spans="1:9" ht="21" customHeight="1" x14ac:dyDescent="0.25">
      <c r="A40" s="155"/>
      <c r="B40" s="152"/>
      <c r="C40" s="35" t="s">
        <v>1</v>
      </c>
      <c r="D40" s="19">
        <v>78</v>
      </c>
      <c r="E40" s="16">
        <v>431</v>
      </c>
      <c r="F40" s="150"/>
      <c r="G40" s="150"/>
      <c r="H40" s="19">
        <f t="shared" ref="H40:I45" si="8">D40</f>
        <v>78</v>
      </c>
      <c r="I40" s="16">
        <f t="shared" si="8"/>
        <v>431</v>
      </c>
    </row>
    <row r="41" spans="1:9" ht="21" customHeight="1" x14ac:dyDescent="0.25">
      <c r="A41" s="146">
        <f>COUNTA($A$2:A40)</f>
        <v>18</v>
      </c>
      <c r="B41" s="147" t="s">
        <v>135</v>
      </c>
      <c r="C41" s="35" t="s">
        <v>47</v>
      </c>
      <c r="D41" s="16">
        <f>72+3</f>
        <v>75</v>
      </c>
      <c r="E41" s="16">
        <f>349+3</f>
        <v>352</v>
      </c>
      <c r="F41" s="150"/>
      <c r="G41" s="150"/>
      <c r="H41" s="19">
        <f t="shared" si="8"/>
        <v>75</v>
      </c>
      <c r="I41" s="16">
        <f t="shared" si="8"/>
        <v>352</v>
      </c>
    </row>
    <row r="42" spans="1:9" ht="21" customHeight="1" x14ac:dyDescent="0.25">
      <c r="A42" s="146"/>
      <c r="B42" s="148"/>
      <c r="C42" s="35" t="s">
        <v>48</v>
      </c>
      <c r="D42" s="16">
        <f>70+2</f>
        <v>72</v>
      </c>
      <c r="E42" s="16">
        <f>320+3</f>
        <v>323</v>
      </c>
      <c r="F42" s="150"/>
      <c r="G42" s="150"/>
      <c r="H42" s="19">
        <f t="shared" si="8"/>
        <v>72</v>
      </c>
      <c r="I42" s="16">
        <f t="shared" si="8"/>
        <v>323</v>
      </c>
    </row>
    <row r="43" spans="1:9" ht="21.75" customHeight="1" x14ac:dyDescent="0.25">
      <c r="A43" s="146"/>
      <c r="B43" s="157"/>
      <c r="C43" s="1" t="s">
        <v>49</v>
      </c>
      <c r="D43" s="19">
        <f>40+12</f>
        <v>52</v>
      </c>
      <c r="E43" s="16">
        <f>150+14</f>
        <v>164</v>
      </c>
      <c r="F43" s="150"/>
      <c r="G43" s="150"/>
      <c r="H43" s="19">
        <f t="shared" si="8"/>
        <v>52</v>
      </c>
      <c r="I43" s="16">
        <f t="shared" si="8"/>
        <v>164</v>
      </c>
    </row>
    <row r="44" spans="1:9" ht="21" customHeight="1" x14ac:dyDescent="0.25">
      <c r="A44" s="155">
        <f>COUNTA($A$2:A43)</f>
        <v>19</v>
      </c>
      <c r="B44" s="152" t="s">
        <v>136</v>
      </c>
      <c r="C44" s="35" t="s">
        <v>50</v>
      </c>
      <c r="D44" s="16">
        <f>30+28</f>
        <v>58</v>
      </c>
      <c r="E44" s="16">
        <f>139+41</f>
        <v>180</v>
      </c>
      <c r="F44" s="150"/>
      <c r="G44" s="150"/>
      <c r="H44" s="19">
        <f t="shared" si="8"/>
        <v>58</v>
      </c>
      <c r="I44" s="16">
        <f t="shared" si="8"/>
        <v>180</v>
      </c>
    </row>
    <row r="45" spans="1:9" x14ac:dyDescent="0.25">
      <c r="A45" s="155"/>
      <c r="B45" s="152"/>
      <c r="C45" s="35" t="s">
        <v>51</v>
      </c>
      <c r="D45" s="16">
        <v>60</v>
      </c>
      <c r="E45" s="16">
        <f>257+24</f>
        <v>281</v>
      </c>
      <c r="F45" s="151"/>
      <c r="G45" s="151"/>
      <c r="H45" s="19">
        <f t="shared" si="8"/>
        <v>60</v>
      </c>
      <c r="I45" s="16">
        <f t="shared" si="8"/>
        <v>281</v>
      </c>
    </row>
    <row r="46" spans="1:9" s="8" customFormat="1" ht="21" customHeight="1" x14ac:dyDescent="0.25">
      <c r="A46" s="1"/>
      <c r="B46" s="137" t="s">
        <v>103</v>
      </c>
      <c r="C46" s="138"/>
      <c r="D46" s="48">
        <f>SUM(D39:D45)</f>
        <v>460</v>
      </c>
      <c r="E46" s="48">
        <f>SUM(E39:E45)</f>
        <v>2003</v>
      </c>
      <c r="F46" s="20"/>
      <c r="G46" s="20"/>
      <c r="H46" s="14">
        <f>SUM(H39:H45)</f>
        <v>460</v>
      </c>
      <c r="I46" s="14">
        <f>SUM(I39:I45)</f>
        <v>2003</v>
      </c>
    </row>
    <row r="47" spans="1:9" ht="23.25" customHeight="1" x14ac:dyDescent="0.25">
      <c r="A47" s="146">
        <f>COUNTA($A$2:A46)</f>
        <v>20</v>
      </c>
      <c r="B47" s="147" t="s">
        <v>129</v>
      </c>
      <c r="C47" s="1" t="s">
        <v>17</v>
      </c>
      <c r="D47" s="23">
        <v>152</v>
      </c>
      <c r="E47" s="16">
        <v>451</v>
      </c>
      <c r="F47" s="149">
        <v>7</v>
      </c>
      <c r="G47" s="149" t="s">
        <v>183</v>
      </c>
      <c r="H47" s="23">
        <f>D47</f>
        <v>152</v>
      </c>
      <c r="I47" s="16">
        <f>E47</f>
        <v>451</v>
      </c>
    </row>
    <row r="48" spans="1:9" ht="21" customHeight="1" x14ac:dyDescent="0.25">
      <c r="A48" s="146"/>
      <c r="B48" s="148"/>
      <c r="C48" s="35" t="s">
        <v>18</v>
      </c>
      <c r="D48" s="23">
        <v>179</v>
      </c>
      <c r="E48" s="16">
        <v>522</v>
      </c>
      <c r="F48" s="150"/>
      <c r="G48" s="150"/>
      <c r="H48" s="23">
        <f t="shared" ref="H48:I52" si="9">D48</f>
        <v>179</v>
      </c>
      <c r="I48" s="16">
        <f t="shared" si="9"/>
        <v>522</v>
      </c>
    </row>
    <row r="49" spans="1:10" ht="21" customHeight="1" x14ac:dyDescent="0.25">
      <c r="A49" s="146"/>
      <c r="B49" s="157"/>
      <c r="C49" s="35" t="s">
        <v>19</v>
      </c>
      <c r="D49" s="23">
        <v>83</v>
      </c>
      <c r="E49" s="16">
        <v>289</v>
      </c>
      <c r="F49" s="150"/>
      <c r="G49" s="150"/>
      <c r="H49" s="23">
        <f t="shared" si="9"/>
        <v>83</v>
      </c>
      <c r="I49" s="16">
        <f t="shared" si="9"/>
        <v>289</v>
      </c>
      <c r="J49" s="4">
        <f>158+337</f>
        <v>495</v>
      </c>
    </row>
    <row r="50" spans="1:10" ht="21" customHeight="1" x14ac:dyDescent="0.25">
      <c r="A50" s="146">
        <f>COUNTA($A$2:A49)</f>
        <v>21</v>
      </c>
      <c r="B50" s="152" t="s">
        <v>134</v>
      </c>
      <c r="C50" s="35" t="s">
        <v>44</v>
      </c>
      <c r="D50" s="23">
        <v>65</v>
      </c>
      <c r="E50" s="16">
        <v>248</v>
      </c>
      <c r="F50" s="150"/>
      <c r="G50" s="150"/>
      <c r="H50" s="23">
        <f t="shared" si="9"/>
        <v>65</v>
      </c>
      <c r="I50" s="16">
        <f t="shared" si="9"/>
        <v>248</v>
      </c>
    </row>
    <row r="51" spans="1:10" ht="21" customHeight="1" x14ac:dyDescent="0.25">
      <c r="A51" s="146"/>
      <c r="B51" s="152"/>
      <c r="C51" s="35" t="s">
        <v>45</v>
      </c>
      <c r="D51" s="23">
        <v>110</v>
      </c>
      <c r="E51" s="32">
        <v>495</v>
      </c>
      <c r="F51" s="150"/>
      <c r="G51" s="150"/>
      <c r="H51" s="23">
        <f t="shared" si="9"/>
        <v>110</v>
      </c>
      <c r="I51" s="16">
        <f t="shared" si="9"/>
        <v>495</v>
      </c>
    </row>
    <row r="52" spans="1:10" ht="44.25" customHeight="1" x14ac:dyDescent="0.25">
      <c r="A52" s="15">
        <f>COUNTA($A$2:A51)</f>
        <v>22</v>
      </c>
      <c r="B52" s="22" t="s">
        <v>135</v>
      </c>
      <c r="C52" s="15" t="s">
        <v>49</v>
      </c>
      <c r="D52" s="16">
        <v>25</v>
      </c>
      <c r="E52" s="32">
        <v>125</v>
      </c>
      <c r="F52" s="151"/>
      <c r="G52" s="151"/>
      <c r="H52" s="16">
        <f t="shared" si="9"/>
        <v>25</v>
      </c>
      <c r="I52" s="16">
        <f t="shared" si="9"/>
        <v>125</v>
      </c>
    </row>
    <row r="53" spans="1:10" s="8" customFormat="1" ht="21" customHeight="1" x14ac:dyDescent="0.25">
      <c r="A53" s="42"/>
      <c r="B53" s="156" t="s">
        <v>103</v>
      </c>
      <c r="C53" s="139"/>
      <c r="D53" s="14">
        <f>SUM(D47:D52)</f>
        <v>614</v>
      </c>
      <c r="E53" s="14">
        <f>SUM(E47:E52)</f>
        <v>2130</v>
      </c>
      <c r="F53" s="20"/>
      <c r="G53" s="20"/>
      <c r="H53" s="14">
        <f t="shared" ref="H53:I53" si="10">SUM(H47:H52)</f>
        <v>614</v>
      </c>
      <c r="I53" s="14">
        <f t="shared" si="10"/>
        <v>2130</v>
      </c>
    </row>
    <row r="54" spans="1:10" s="8" customFormat="1" ht="21" customHeight="1" x14ac:dyDescent="0.25">
      <c r="A54" s="146">
        <f>COUNTA($A$2:A53)</f>
        <v>23</v>
      </c>
      <c r="B54" s="152" t="s">
        <v>137</v>
      </c>
      <c r="C54" s="35" t="s">
        <v>42</v>
      </c>
      <c r="D54" s="19">
        <v>40</v>
      </c>
      <c r="E54" s="19">
        <v>182</v>
      </c>
      <c r="F54" s="46"/>
      <c r="G54" s="30"/>
      <c r="H54" s="19">
        <f>D54</f>
        <v>40</v>
      </c>
      <c r="I54" s="19">
        <f>E54</f>
        <v>182</v>
      </c>
    </row>
    <row r="55" spans="1:10" ht="21" customHeight="1" x14ac:dyDescent="0.25">
      <c r="A55" s="146"/>
      <c r="B55" s="152"/>
      <c r="C55" s="35" t="s">
        <v>43</v>
      </c>
      <c r="D55" s="16">
        <v>115</v>
      </c>
      <c r="E55" s="16">
        <v>508</v>
      </c>
      <c r="F55" s="149">
        <v>8</v>
      </c>
      <c r="G55" s="150" t="s">
        <v>184</v>
      </c>
      <c r="H55" s="19">
        <f t="shared" ref="H55:I63" si="11">D55</f>
        <v>115</v>
      </c>
      <c r="I55" s="19">
        <f t="shared" si="11"/>
        <v>508</v>
      </c>
    </row>
    <row r="56" spans="1:10" ht="21" customHeight="1" x14ac:dyDescent="0.25">
      <c r="A56" s="154">
        <f>COUNTA($A$2:A55)</f>
        <v>24</v>
      </c>
      <c r="B56" s="154" t="s">
        <v>138</v>
      </c>
      <c r="C56" s="35" t="s">
        <v>59</v>
      </c>
      <c r="D56" s="23">
        <v>95</v>
      </c>
      <c r="E56" s="16">
        <v>431</v>
      </c>
      <c r="F56" s="150"/>
      <c r="G56" s="150"/>
      <c r="H56" s="19">
        <f t="shared" si="11"/>
        <v>95</v>
      </c>
      <c r="I56" s="19">
        <f t="shared" si="11"/>
        <v>431</v>
      </c>
    </row>
    <row r="57" spans="1:10" ht="21" customHeight="1" x14ac:dyDescent="0.25">
      <c r="A57" s="155"/>
      <c r="B57" s="155"/>
      <c r="C57" s="35" t="s">
        <v>60</v>
      </c>
      <c r="D57" s="23">
        <v>66</v>
      </c>
      <c r="E57" s="16">
        <v>308</v>
      </c>
      <c r="F57" s="150"/>
      <c r="G57" s="150"/>
      <c r="H57" s="19">
        <f t="shared" si="11"/>
        <v>66</v>
      </c>
      <c r="I57" s="19">
        <f t="shared" si="11"/>
        <v>308</v>
      </c>
    </row>
    <row r="58" spans="1:10" ht="21" customHeight="1" x14ac:dyDescent="0.25">
      <c r="A58" s="155"/>
      <c r="B58" s="155"/>
      <c r="C58" s="35" t="s">
        <v>61</v>
      </c>
      <c r="D58" s="23">
        <v>124</v>
      </c>
      <c r="E58" s="16">
        <v>619</v>
      </c>
      <c r="F58" s="150"/>
      <c r="G58" s="150"/>
      <c r="H58" s="19">
        <f t="shared" si="11"/>
        <v>124</v>
      </c>
      <c r="I58" s="19">
        <f t="shared" si="11"/>
        <v>619</v>
      </c>
    </row>
    <row r="59" spans="1:10" ht="21" customHeight="1" x14ac:dyDescent="0.25">
      <c r="A59" s="158"/>
      <c r="B59" s="158"/>
      <c r="C59" s="35" t="s">
        <v>62</v>
      </c>
      <c r="D59" s="23">
        <v>109</v>
      </c>
      <c r="E59" s="16">
        <v>505</v>
      </c>
      <c r="F59" s="150"/>
      <c r="G59" s="150"/>
      <c r="H59" s="19">
        <f t="shared" si="11"/>
        <v>109</v>
      </c>
      <c r="I59" s="19">
        <f t="shared" si="11"/>
        <v>505</v>
      </c>
    </row>
    <row r="60" spans="1:10" ht="21" customHeight="1" x14ac:dyDescent="0.25">
      <c r="A60" s="154">
        <f>COUNTA($A$2:A59)</f>
        <v>25</v>
      </c>
      <c r="B60" s="147" t="s">
        <v>134</v>
      </c>
      <c r="C60" s="35" t="s">
        <v>46</v>
      </c>
      <c r="D60" s="19">
        <v>83</v>
      </c>
      <c r="E60" s="16">
        <v>347</v>
      </c>
      <c r="F60" s="150"/>
      <c r="G60" s="150"/>
      <c r="H60" s="19">
        <f>D60</f>
        <v>83</v>
      </c>
      <c r="I60" s="19">
        <f t="shared" si="11"/>
        <v>347</v>
      </c>
    </row>
    <row r="61" spans="1:10" ht="21" customHeight="1" x14ac:dyDescent="0.25">
      <c r="A61" s="158"/>
      <c r="B61" s="157"/>
      <c r="C61" s="35" t="s">
        <v>44</v>
      </c>
      <c r="D61" s="23">
        <v>65</v>
      </c>
      <c r="E61" s="16">
        <v>248</v>
      </c>
      <c r="F61" s="150"/>
      <c r="G61" s="150"/>
      <c r="H61" s="19">
        <f t="shared" si="11"/>
        <v>65</v>
      </c>
      <c r="I61" s="19">
        <f t="shared" si="11"/>
        <v>248</v>
      </c>
    </row>
    <row r="62" spans="1:10" ht="21" customHeight="1" x14ac:dyDescent="0.25">
      <c r="A62" s="154">
        <f>COUNTA($A$2:A61)</f>
        <v>26</v>
      </c>
      <c r="B62" s="154" t="s">
        <v>136</v>
      </c>
      <c r="C62" s="35" t="s">
        <v>50</v>
      </c>
      <c r="D62" s="23">
        <v>56</v>
      </c>
      <c r="E62" s="16">
        <v>280</v>
      </c>
      <c r="F62" s="150"/>
      <c r="G62" s="150"/>
      <c r="H62" s="19">
        <f t="shared" si="11"/>
        <v>56</v>
      </c>
      <c r="I62" s="19">
        <f t="shared" si="11"/>
        <v>280</v>
      </c>
    </row>
    <row r="63" spans="1:10" ht="21" customHeight="1" x14ac:dyDescent="0.25">
      <c r="A63" s="158"/>
      <c r="B63" s="158"/>
      <c r="C63" s="35" t="s">
        <v>51</v>
      </c>
      <c r="D63" s="23">
        <v>14</v>
      </c>
      <c r="E63" s="16">
        <v>73</v>
      </c>
      <c r="F63" s="151"/>
      <c r="G63" s="151"/>
      <c r="H63" s="19">
        <f t="shared" si="11"/>
        <v>14</v>
      </c>
      <c r="I63" s="19">
        <f t="shared" si="11"/>
        <v>73</v>
      </c>
    </row>
    <row r="64" spans="1:10" ht="21" customHeight="1" x14ac:dyDescent="0.25">
      <c r="A64" s="15"/>
      <c r="B64" s="137" t="s">
        <v>103</v>
      </c>
      <c r="C64" s="138"/>
      <c r="D64" s="21">
        <f>SUM(D54:D63)</f>
        <v>767</v>
      </c>
      <c r="E64" s="21">
        <f>SUM(E54:E63)</f>
        <v>3501</v>
      </c>
      <c r="F64" s="24"/>
      <c r="G64" s="24"/>
      <c r="H64" s="21">
        <f>SUM(H54:H63)</f>
        <v>767</v>
      </c>
      <c r="I64" s="21">
        <f>SUM(I54:I63)</f>
        <v>3501</v>
      </c>
    </row>
    <row r="65" spans="1:9" ht="21" customHeight="1" x14ac:dyDescent="0.25">
      <c r="A65" s="15">
        <f>COUNTA($A$2:A64)</f>
        <v>27</v>
      </c>
      <c r="B65" s="1" t="s">
        <v>129</v>
      </c>
      <c r="C65" s="35" t="s">
        <v>19</v>
      </c>
      <c r="D65" s="19">
        <v>51</v>
      </c>
      <c r="E65" s="19">
        <v>186</v>
      </c>
      <c r="F65" s="143">
        <v>9</v>
      </c>
      <c r="G65" s="140" t="s">
        <v>185</v>
      </c>
      <c r="H65" s="19">
        <f t="shared" ref="H65:I68" si="12">D65</f>
        <v>51</v>
      </c>
      <c r="I65" s="19">
        <f t="shared" si="12"/>
        <v>186</v>
      </c>
    </row>
    <row r="66" spans="1:9" ht="21" customHeight="1" x14ac:dyDescent="0.25">
      <c r="A66" s="154">
        <f>COUNTA($A$2:A65)</f>
        <v>28</v>
      </c>
      <c r="B66" s="147" t="s">
        <v>130</v>
      </c>
      <c r="C66" s="35" t="s">
        <v>20</v>
      </c>
      <c r="D66" s="23">
        <v>169</v>
      </c>
      <c r="E66" s="16">
        <v>472</v>
      </c>
      <c r="F66" s="144"/>
      <c r="G66" s="144"/>
      <c r="H66" s="19">
        <f t="shared" si="12"/>
        <v>169</v>
      </c>
      <c r="I66" s="19">
        <f t="shared" si="12"/>
        <v>472</v>
      </c>
    </row>
    <row r="67" spans="1:9" ht="21" customHeight="1" x14ac:dyDescent="0.25">
      <c r="A67" s="158"/>
      <c r="B67" s="157"/>
      <c r="C67" s="35" t="s">
        <v>21</v>
      </c>
      <c r="D67" s="23">
        <v>133</v>
      </c>
      <c r="E67" s="16">
        <v>371</v>
      </c>
      <c r="F67" s="144"/>
      <c r="G67" s="144"/>
      <c r="H67" s="19">
        <f t="shared" si="12"/>
        <v>133</v>
      </c>
      <c r="I67" s="19">
        <f t="shared" si="12"/>
        <v>371</v>
      </c>
    </row>
    <row r="68" spans="1:9" ht="21" customHeight="1" x14ac:dyDescent="0.25">
      <c r="A68" s="15">
        <f>COUNTA($A$2:A67)</f>
        <v>29</v>
      </c>
      <c r="B68" s="1" t="s">
        <v>137</v>
      </c>
      <c r="C68" s="35" t="s">
        <v>42</v>
      </c>
      <c r="D68" s="23">
        <v>102</v>
      </c>
      <c r="E68" s="16">
        <v>353</v>
      </c>
      <c r="F68" s="145"/>
      <c r="G68" s="145"/>
      <c r="H68" s="19">
        <f t="shared" si="12"/>
        <v>102</v>
      </c>
      <c r="I68" s="19">
        <f t="shared" si="12"/>
        <v>353</v>
      </c>
    </row>
    <row r="69" spans="1:9" ht="21" customHeight="1" x14ac:dyDescent="0.25">
      <c r="A69" s="15"/>
      <c r="B69" s="153" t="s">
        <v>103</v>
      </c>
      <c r="C69" s="153"/>
      <c r="D69" s="21">
        <f>SUM(D65:D68)</f>
        <v>455</v>
      </c>
      <c r="E69" s="21">
        <f>SUM(E65:E68)</f>
        <v>1382</v>
      </c>
      <c r="F69" s="24"/>
      <c r="G69" s="24"/>
      <c r="H69" s="21">
        <f>SUM(H65:H68)</f>
        <v>455</v>
      </c>
      <c r="I69" s="21">
        <f>SUM(I65:I68)</f>
        <v>1382</v>
      </c>
    </row>
    <row r="70" spans="1:9" s="33" customFormat="1" ht="30" customHeight="1" x14ac:dyDescent="0.25">
      <c r="A70" s="15">
        <f>COUNTA($A$2:A69)</f>
        <v>30</v>
      </c>
      <c r="B70" s="1" t="s">
        <v>130</v>
      </c>
      <c r="C70" s="15" t="s">
        <v>22</v>
      </c>
      <c r="D70" s="16">
        <v>256</v>
      </c>
      <c r="E70" s="16">
        <v>846</v>
      </c>
      <c r="F70" s="153">
        <v>10</v>
      </c>
      <c r="G70" s="153" t="s">
        <v>186</v>
      </c>
      <c r="H70" s="19">
        <f t="shared" ref="H70:I71" si="13">D70</f>
        <v>256</v>
      </c>
      <c r="I70" s="19">
        <f t="shared" si="13"/>
        <v>846</v>
      </c>
    </row>
    <row r="71" spans="1:9" s="43" customFormat="1" ht="30.75" customHeight="1" x14ac:dyDescent="0.25">
      <c r="A71" s="15">
        <f>COUNTA($A$2:A70)</f>
        <v>31</v>
      </c>
      <c r="B71" s="1" t="s">
        <v>120</v>
      </c>
      <c r="C71" s="15" t="s">
        <v>24</v>
      </c>
      <c r="D71" s="16">
        <f>166+28+15</f>
        <v>209</v>
      </c>
      <c r="E71" s="16">
        <f>758+69+52</f>
        <v>879</v>
      </c>
      <c r="F71" s="153"/>
      <c r="G71" s="153"/>
      <c r="H71" s="19">
        <f t="shared" si="13"/>
        <v>209</v>
      </c>
      <c r="I71" s="19">
        <f t="shared" si="13"/>
        <v>879</v>
      </c>
    </row>
    <row r="72" spans="1:9" s="33" customFormat="1" ht="46.5" customHeight="1" x14ac:dyDescent="0.25">
      <c r="A72" s="15"/>
      <c r="B72" s="153" t="s">
        <v>103</v>
      </c>
      <c r="C72" s="153"/>
      <c r="D72" s="44">
        <f>SUM(D70:D71)</f>
        <v>465</v>
      </c>
      <c r="E72" s="44">
        <f>SUM(E70:E71)</f>
        <v>1725</v>
      </c>
      <c r="F72" s="153"/>
      <c r="G72" s="153"/>
      <c r="H72" s="21">
        <f>SUM(H70:H71)</f>
        <v>465</v>
      </c>
      <c r="I72" s="21">
        <f>SUM(I70:I71)</f>
        <v>1725</v>
      </c>
    </row>
    <row r="73" spans="1:9" ht="31.5" customHeight="1" x14ac:dyDescent="0.25">
      <c r="A73" s="15">
        <f>COUNTA($A$2:A72)</f>
        <v>32</v>
      </c>
      <c r="B73" s="22" t="s">
        <v>120</v>
      </c>
      <c r="C73" s="38" t="s">
        <v>23</v>
      </c>
      <c r="D73" s="25">
        <v>55</v>
      </c>
      <c r="E73" s="25">
        <v>249</v>
      </c>
      <c r="F73" s="149">
        <v>11</v>
      </c>
      <c r="G73" s="150" t="s">
        <v>187</v>
      </c>
      <c r="H73" s="25">
        <f>D73</f>
        <v>55</v>
      </c>
      <c r="I73" s="25">
        <f>E73</f>
        <v>249</v>
      </c>
    </row>
    <row r="74" spans="1:9" ht="21" customHeight="1" x14ac:dyDescent="0.25">
      <c r="A74" s="146">
        <f>COUNTA($A$2:A73)</f>
        <v>33</v>
      </c>
      <c r="B74" s="152" t="s">
        <v>131</v>
      </c>
      <c r="C74" s="35" t="s">
        <v>37</v>
      </c>
      <c r="D74" s="23">
        <v>121</v>
      </c>
      <c r="E74" s="16">
        <v>544</v>
      </c>
      <c r="F74" s="150"/>
      <c r="G74" s="150"/>
      <c r="H74" s="25">
        <f t="shared" ref="H74:I78" si="14">D74</f>
        <v>121</v>
      </c>
      <c r="I74" s="25">
        <f t="shared" si="14"/>
        <v>544</v>
      </c>
    </row>
    <row r="75" spans="1:9" ht="23.25" customHeight="1" x14ac:dyDescent="0.25">
      <c r="A75" s="146"/>
      <c r="B75" s="152"/>
      <c r="C75" s="35" t="s">
        <v>38</v>
      </c>
      <c r="D75" s="23">
        <v>137</v>
      </c>
      <c r="E75" s="16">
        <v>595</v>
      </c>
      <c r="F75" s="150"/>
      <c r="G75" s="150"/>
      <c r="H75" s="25">
        <f t="shared" si="14"/>
        <v>137</v>
      </c>
      <c r="I75" s="25">
        <f t="shared" si="14"/>
        <v>595</v>
      </c>
    </row>
    <row r="76" spans="1:9" ht="31.5" customHeight="1" x14ac:dyDescent="0.25">
      <c r="A76" s="146">
        <f>COUNTA($A$2:A75)</f>
        <v>34</v>
      </c>
      <c r="B76" s="152" t="s">
        <v>132</v>
      </c>
      <c r="C76" s="35" t="s">
        <v>39</v>
      </c>
      <c r="D76" s="23">
        <v>104</v>
      </c>
      <c r="E76" s="16">
        <v>402</v>
      </c>
      <c r="F76" s="150"/>
      <c r="G76" s="150"/>
      <c r="H76" s="25">
        <f t="shared" si="14"/>
        <v>104</v>
      </c>
      <c r="I76" s="25">
        <f t="shared" si="14"/>
        <v>402</v>
      </c>
    </row>
    <row r="77" spans="1:9" ht="28.5" customHeight="1" x14ac:dyDescent="0.25">
      <c r="A77" s="146"/>
      <c r="B77" s="152"/>
      <c r="C77" s="35" t="s">
        <v>40</v>
      </c>
      <c r="D77" s="23">
        <v>98</v>
      </c>
      <c r="E77" s="16">
        <v>368</v>
      </c>
      <c r="F77" s="150"/>
      <c r="G77" s="150"/>
      <c r="H77" s="25">
        <f t="shared" si="14"/>
        <v>98</v>
      </c>
      <c r="I77" s="25">
        <f t="shared" si="14"/>
        <v>368</v>
      </c>
    </row>
    <row r="78" spans="1:9" ht="36.6" customHeight="1" x14ac:dyDescent="0.25">
      <c r="A78" s="146"/>
      <c r="B78" s="152"/>
      <c r="C78" s="29" t="s">
        <v>41</v>
      </c>
      <c r="D78" s="16">
        <v>124</v>
      </c>
      <c r="E78" s="16">
        <v>465</v>
      </c>
      <c r="F78" s="151"/>
      <c r="G78" s="151"/>
      <c r="H78" s="25">
        <f t="shared" si="14"/>
        <v>124</v>
      </c>
      <c r="I78" s="25">
        <f t="shared" si="14"/>
        <v>465</v>
      </c>
    </row>
    <row r="79" spans="1:9" s="8" customFormat="1" ht="23.25" customHeight="1" x14ac:dyDescent="0.25">
      <c r="A79" s="1"/>
      <c r="B79" s="137" t="s">
        <v>103</v>
      </c>
      <c r="C79" s="138"/>
      <c r="D79" s="14">
        <f>SUM(D73:D78)</f>
        <v>639</v>
      </c>
      <c r="E79" s="14">
        <f>SUM(E73:E78)</f>
        <v>2623</v>
      </c>
      <c r="F79" s="20"/>
      <c r="G79" s="20"/>
      <c r="H79" s="14">
        <f>SUM(H73:H78)</f>
        <v>639</v>
      </c>
      <c r="I79" s="14">
        <f>SUM(I73:I78)</f>
        <v>2623</v>
      </c>
    </row>
    <row r="80" spans="1:9" ht="23.25" customHeight="1" x14ac:dyDescent="0.25">
      <c r="A80" s="146">
        <f>COUNTA($A$2:A79)</f>
        <v>35</v>
      </c>
      <c r="B80" s="152" t="s">
        <v>136</v>
      </c>
      <c r="C80" s="38" t="s">
        <v>52</v>
      </c>
      <c r="D80" s="23">
        <v>124</v>
      </c>
      <c r="E80" s="16">
        <v>546</v>
      </c>
      <c r="F80" s="149">
        <v>12</v>
      </c>
      <c r="G80" s="149" t="s">
        <v>188</v>
      </c>
      <c r="H80" s="23">
        <f>D80</f>
        <v>124</v>
      </c>
      <c r="I80" s="16">
        <f>E80</f>
        <v>546</v>
      </c>
    </row>
    <row r="81" spans="1:9" ht="23.25" customHeight="1" x14ac:dyDescent="0.25">
      <c r="A81" s="146"/>
      <c r="B81" s="152"/>
      <c r="C81" s="35" t="s">
        <v>53</v>
      </c>
      <c r="D81" s="23">
        <v>130</v>
      </c>
      <c r="E81" s="16">
        <v>541</v>
      </c>
      <c r="F81" s="150"/>
      <c r="G81" s="150"/>
      <c r="H81" s="23">
        <f t="shared" ref="H81:I86" si="15">D81</f>
        <v>130</v>
      </c>
      <c r="I81" s="16">
        <f t="shared" si="15"/>
        <v>541</v>
      </c>
    </row>
    <row r="82" spans="1:9" ht="23.25" customHeight="1" x14ac:dyDescent="0.25">
      <c r="A82" s="146">
        <f>COUNTA($A$2:A81)</f>
        <v>36</v>
      </c>
      <c r="B82" s="152" t="s">
        <v>139</v>
      </c>
      <c r="C82" s="35" t="s">
        <v>54</v>
      </c>
      <c r="D82" s="23">
        <v>86</v>
      </c>
      <c r="E82" s="16">
        <v>339</v>
      </c>
      <c r="F82" s="150"/>
      <c r="G82" s="150"/>
      <c r="H82" s="23">
        <f t="shared" si="15"/>
        <v>86</v>
      </c>
      <c r="I82" s="16">
        <f t="shared" si="15"/>
        <v>339</v>
      </c>
    </row>
    <row r="83" spans="1:9" ht="23.25" customHeight="1" x14ac:dyDescent="0.25">
      <c r="A83" s="146"/>
      <c r="B83" s="152"/>
      <c r="C83" s="35" t="s">
        <v>55</v>
      </c>
      <c r="D83" s="23">
        <v>86</v>
      </c>
      <c r="E83" s="16">
        <v>384</v>
      </c>
      <c r="F83" s="150"/>
      <c r="G83" s="150"/>
      <c r="H83" s="23">
        <f t="shared" si="15"/>
        <v>86</v>
      </c>
      <c r="I83" s="16">
        <f t="shared" si="15"/>
        <v>384</v>
      </c>
    </row>
    <row r="84" spans="1:9" ht="23.25" customHeight="1" x14ac:dyDescent="0.25">
      <c r="A84" s="146"/>
      <c r="B84" s="152"/>
      <c r="C84" s="35" t="s">
        <v>56</v>
      </c>
      <c r="D84" s="23">
        <v>84</v>
      </c>
      <c r="E84" s="16">
        <v>316</v>
      </c>
      <c r="F84" s="150"/>
      <c r="G84" s="150"/>
      <c r="H84" s="23">
        <f t="shared" si="15"/>
        <v>84</v>
      </c>
      <c r="I84" s="16">
        <f t="shared" si="15"/>
        <v>316</v>
      </c>
    </row>
    <row r="85" spans="1:9" ht="23.25" customHeight="1" x14ac:dyDescent="0.25">
      <c r="A85" s="146"/>
      <c r="B85" s="152"/>
      <c r="C85" s="39" t="s">
        <v>57</v>
      </c>
      <c r="D85" s="23">
        <v>65</v>
      </c>
      <c r="E85" s="16">
        <v>323</v>
      </c>
      <c r="F85" s="150"/>
      <c r="G85" s="150"/>
      <c r="H85" s="23">
        <f t="shared" si="15"/>
        <v>65</v>
      </c>
      <c r="I85" s="16">
        <f t="shared" si="15"/>
        <v>323</v>
      </c>
    </row>
    <row r="86" spans="1:9" ht="23.25" customHeight="1" x14ac:dyDescent="0.25">
      <c r="A86" s="146"/>
      <c r="B86" s="152"/>
      <c r="C86" s="35" t="s">
        <v>58</v>
      </c>
      <c r="D86" s="23">
        <v>72</v>
      </c>
      <c r="E86" s="16">
        <v>438</v>
      </c>
      <c r="F86" s="151"/>
      <c r="G86" s="151"/>
      <c r="H86" s="23">
        <f t="shared" si="15"/>
        <v>72</v>
      </c>
      <c r="I86" s="16">
        <f t="shared" si="15"/>
        <v>438</v>
      </c>
    </row>
    <row r="87" spans="1:9" s="8" customFormat="1" ht="23.25" customHeight="1" x14ac:dyDescent="0.25">
      <c r="A87" s="1"/>
      <c r="B87" s="137" t="s">
        <v>103</v>
      </c>
      <c r="C87" s="138"/>
      <c r="D87" s="14">
        <f>SUM(D80:D86)</f>
        <v>647</v>
      </c>
      <c r="E87" s="14">
        <f>SUM(E80:E86)</f>
        <v>2887</v>
      </c>
      <c r="F87" s="20"/>
      <c r="G87" s="20"/>
      <c r="H87" s="14">
        <f>SUM(H80:H86)</f>
        <v>647</v>
      </c>
      <c r="I87" s="14">
        <f>SUM(I80:I86)</f>
        <v>2887</v>
      </c>
    </row>
    <row r="88" spans="1:9" ht="23.25" customHeight="1" x14ac:dyDescent="0.25">
      <c r="A88" s="146">
        <f>COUNTA($A$2:A87)</f>
        <v>37</v>
      </c>
      <c r="B88" s="147" t="s">
        <v>140</v>
      </c>
      <c r="C88" s="38" t="s">
        <v>63</v>
      </c>
      <c r="D88" s="23">
        <v>166</v>
      </c>
      <c r="E88" s="16">
        <v>698</v>
      </c>
      <c r="F88" s="149">
        <v>13</v>
      </c>
      <c r="G88" s="149" t="s">
        <v>189</v>
      </c>
      <c r="H88" s="23">
        <f>D88</f>
        <v>166</v>
      </c>
      <c r="I88" s="16">
        <f>E88</f>
        <v>698</v>
      </c>
    </row>
    <row r="89" spans="1:9" ht="23.25" customHeight="1" x14ac:dyDescent="0.25">
      <c r="A89" s="146"/>
      <c r="B89" s="148"/>
      <c r="C89" s="35" t="s">
        <v>64</v>
      </c>
      <c r="D89" s="23">
        <v>166</v>
      </c>
      <c r="E89" s="16">
        <v>703</v>
      </c>
      <c r="F89" s="150"/>
      <c r="G89" s="150"/>
      <c r="H89" s="23">
        <f t="shared" ref="H89:I91" si="16">D89</f>
        <v>166</v>
      </c>
      <c r="I89" s="16">
        <f t="shared" si="16"/>
        <v>703</v>
      </c>
    </row>
    <row r="90" spans="1:9" ht="23.25" customHeight="1" x14ac:dyDescent="0.25">
      <c r="A90" s="146"/>
      <c r="B90" s="148"/>
      <c r="C90" s="35" t="s">
        <v>65</v>
      </c>
      <c r="D90" s="23">
        <v>84</v>
      </c>
      <c r="E90" s="16">
        <v>365</v>
      </c>
      <c r="F90" s="150"/>
      <c r="G90" s="150"/>
      <c r="H90" s="23">
        <f t="shared" si="16"/>
        <v>84</v>
      </c>
      <c r="I90" s="16">
        <f t="shared" si="16"/>
        <v>365</v>
      </c>
    </row>
    <row r="91" spans="1:9" ht="23.25" customHeight="1" x14ac:dyDescent="0.25">
      <c r="A91" s="146"/>
      <c r="B91" s="157"/>
      <c r="C91" s="39" t="s">
        <v>66</v>
      </c>
      <c r="D91" s="23">
        <v>121</v>
      </c>
      <c r="E91" s="16">
        <v>485</v>
      </c>
      <c r="F91" s="151"/>
      <c r="G91" s="151"/>
      <c r="H91" s="23">
        <f t="shared" si="16"/>
        <v>121</v>
      </c>
      <c r="I91" s="16">
        <f t="shared" si="16"/>
        <v>485</v>
      </c>
    </row>
    <row r="92" spans="1:9" s="8" customFormat="1" ht="23.25" customHeight="1" x14ac:dyDescent="0.25">
      <c r="A92" s="1"/>
      <c r="B92" s="137" t="s">
        <v>103</v>
      </c>
      <c r="C92" s="138"/>
      <c r="D92" s="14">
        <f>SUM(D88:D91)</f>
        <v>537</v>
      </c>
      <c r="E92" s="14">
        <f t="shared" ref="E92:I92" si="17">SUM(E88:E91)</f>
        <v>2251</v>
      </c>
      <c r="F92" s="20"/>
      <c r="G92" s="20"/>
      <c r="H92" s="14">
        <f t="shared" si="17"/>
        <v>537</v>
      </c>
      <c r="I92" s="14">
        <f t="shared" si="17"/>
        <v>2251</v>
      </c>
    </row>
    <row r="93" spans="1:9" ht="23.25" customHeight="1" x14ac:dyDescent="0.25">
      <c r="A93" s="146">
        <f>COUNTA($A$2:A92)</f>
        <v>38</v>
      </c>
      <c r="B93" s="152" t="s">
        <v>89</v>
      </c>
      <c r="C93" s="35" t="s">
        <v>71</v>
      </c>
      <c r="D93" s="23">
        <v>84</v>
      </c>
      <c r="E93" s="16">
        <v>323</v>
      </c>
      <c r="F93" s="149">
        <v>14</v>
      </c>
      <c r="G93" s="149" t="s">
        <v>205</v>
      </c>
      <c r="H93" s="23">
        <f>D93</f>
        <v>84</v>
      </c>
      <c r="I93" s="16">
        <f>E93</f>
        <v>323</v>
      </c>
    </row>
    <row r="94" spans="1:9" ht="23.25" customHeight="1" x14ac:dyDescent="0.25">
      <c r="A94" s="146"/>
      <c r="B94" s="152"/>
      <c r="C94" s="35" t="s">
        <v>72</v>
      </c>
      <c r="D94" s="23">
        <v>112</v>
      </c>
      <c r="E94" s="16">
        <v>407</v>
      </c>
      <c r="F94" s="150"/>
      <c r="G94" s="150"/>
      <c r="H94" s="23">
        <f t="shared" ref="H94:I97" si="18">D94</f>
        <v>112</v>
      </c>
      <c r="I94" s="16">
        <f t="shared" si="18"/>
        <v>407</v>
      </c>
    </row>
    <row r="95" spans="1:9" ht="23.25" customHeight="1" x14ac:dyDescent="0.25">
      <c r="A95" s="146"/>
      <c r="B95" s="152"/>
      <c r="C95" s="35" t="s">
        <v>73</v>
      </c>
      <c r="D95" s="23">
        <v>70</v>
      </c>
      <c r="E95" s="16">
        <v>274</v>
      </c>
      <c r="F95" s="150"/>
      <c r="G95" s="150"/>
      <c r="H95" s="23">
        <f t="shared" si="18"/>
        <v>70</v>
      </c>
      <c r="I95" s="16">
        <f t="shared" si="18"/>
        <v>274</v>
      </c>
    </row>
    <row r="96" spans="1:9" ht="23.25" customHeight="1" x14ac:dyDescent="0.25">
      <c r="A96" s="146">
        <f>COUNTA($A$2:A95)</f>
        <v>39</v>
      </c>
      <c r="B96" s="152" t="s">
        <v>90</v>
      </c>
      <c r="C96" s="35" t="s">
        <v>75</v>
      </c>
      <c r="D96" s="23">
        <v>148</v>
      </c>
      <c r="E96" s="16">
        <v>435</v>
      </c>
      <c r="F96" s="150"/>
      <c r="G96" s="150"/>
      <c r="H96" s="23">
        <f t="shared" si="18"/>
        <v>148</v>
      </c>
      <c r="I96" s="16">
        <f t="shared" si="18"/>
        <v>435</v>
      </c>
    </row>
    <row r="97" spans="1:9" ht="23.25" customHeight="1" x14ac:dyDescent="0.25">
      <c r="A97" s="146"/>
      <c r="B97" s="152"/>
      <c r="C97" s="39" t="s">
        <v>76</v>
      </c>
      <c r="D97" s="23">
        <v>175</v>
      </c>
      <c r="E97" s="16">
        <v>479</v>
      </c>
      <c r="F97" s="151"/>
      <c r="G97" s="151"/>
      <c r="H97" s="23">
        <f t="shared" si="18"/>
        <v>175</v>
      </c>
      <c r="I97" s="16">
        <f t="shared" si="18"/>
        <v>479</v>
      </c>
    </row>
    <row r="98" spans="1:9" s="8" customFormat="1" ht="23.25" customHeight="1" x14ac:dyDescent="0.25">
      <c r="A98" s="1"/>
      <c r="B98" s="153" t="s">
        <v>103</v>
      </c>
      <c r="C98" s="153"/>
      <c r="D98" s="14">
        <f>SUM(D93:D97)</f>
        <v>589</v>
      </c>
      <c r="E98" s="14">
        <f>SUM(E93:E97)</f>
        <v>1918</v>
      </c>
      <c r="F98" s="20"/>
      <c r="G98" s="20"/>
      <c r="H98" s="14">
        <f>SUM(H93:H97)</f>
        <v>589</v>
      </c>
      <c r="I98" s="14">
        <f>SUM(I93:I97)</f>
        <v>1918</v>
      </c>
    </row>
    <row r="99" spans="1:9" ht="23.25" customHeight="1" x14ac:dyDescent="0.25">
      <c r="A99" s="146">
        <f>COUNTA($A$2:A98)</f>
        <v>40</v>
      </c>
      <c r="B99" s="147" t="s">
        <v>88</v>
      </c>
      <c r="C99" s="38" t="s">
        <v>67</v>
      </c>
      <c r="D99" s="23">
        <v>98</v>
      </c>
      <c r="E99" s="16">
        <v>354</v>
      </c>
      <c r="F99" s="149">
        <v>15</v>
      </c>
      <c r="G99" s="149" t="s">
        <v>190</v>
      </c>
      <c r="H99" s="23">
        <f>D99</f>
        <v>98</v>
      </c>
      <c r="I99" s="16">
        <f>E99</f>
        <v>354</v>
      </c>
    </row>
    <row r="100" spans="1:9" ht="23.25" customHeight="1" x14ac:dyDescent="0.25">
      <c r="A100" s="146"/>
      <c r="B100" s="148"/>
      <c r="C100" s="35" t="s">
        <v>68</v>
      </c>
      <c r="D100" s="23">
        <v>147</v>
      </c>
      <c r="E100" s="16">
        <v>544</v>
      </c>
      <c r="F100" s="150"/>
      <c r="G100" s="150"/>
      <c r="H100" s="23">
        <f t="shared" ref="H100:I102" si="19">D100</f>
        <v>147</v>
      </c>
      <c r="I100" s="16">
        <f t="shared" si="19"/>
        <v>544</v>
      </c>
    </row>
    <row r="101" spans="1:9" s="3" customFormat="1" ht="31.5" customHeight="1" x14ac:dyDescent="0.25">
      <c r="A101" s="146"/>
      <c r="B101" s="148"/>
      <c r="C101" s="1" t="s">
        <v>69</v>
      </c>
      <c r="D101" s="16">
        <v>133</v>
      </c>
      <c r="E101" s="16">
        <v>410</v>
      </c>
      <c r="F101" s="150"/>
      <c r="G101" s="150"/>
      <c r="H101" s="16">
        <f t="shared" si="19"/>
        <v>133</v>
      </c>
      <c r="I101" s="16">
        <f t="shared" si="19"/>
        <v>410</v>
      </c>
    </row>
    <row r="102" spans="1:9" s="5" customFormat="1" ht="30" customHeight="1" x14ac:dyDescent="0.25">
      <c r="A102" s="146"/>
      <c r="B102" s="157"/>
      <c r="C102" s="1" t="s">
        <v>70</v>
      </c>
      <c r="D102" s="23">
        <v>113</v>
      </c>
      <c r="E102" s="16">
        <v>409</v>
      </c>
      <c r="F102" s="150"/>
      <c r="G102" s="150"/>
      <c r="H102" s="23">
        <f t="shared" si="19"/>
        <v>113</v>
      </c>
      <c r="I102" s="16">
        <f t="shared" si="19"/>
        <v>409</v>
      </c>
    </row>
    <row r="103" spans="1:9" s="5" customFormat="1" ht="23.25" customHeight="1" x14ac:dyDescent="0.25">
      <c r="A103" s="15"/>
      <c r="B103" s="137" t="s">
        <v>103</v>
      </c>
      <c r="C103" s="138"/>
      <c r="D103" s="26">
        <f>SUM(D99:D102)</f>
        <v>491</v>
      </c>
      <c r="E103" s="26">
        <f>SUM(E99:E102)</f>
        <v>1717</v>
      </c>
      <c r="F103" s="12"/>
      <c r="G103" s="12"/>
      <c r="H103" s="26">
        <f>SUM(H99:H102)</f>
        <v>491</v>
      </c>
      <c r="I103" s="26">
        <f>SUM(I99:I102)</f>
        <v>1717</v>
      </c>
    </row>
    <row r="104" spans="1:9" s="5" customFormat="1" ht="23.25" customHeight="1" x14ac:dyDescent="0.25">
      <c r="A104" s="146">
        <f>COUNTA($A$2:A103)</f>
        <v>41</v>
      </c>
      <c r="B104" s="56" t="s">
        <v>89</v>
      </c>
      <c r="C104" s="35" t="s">
        <v>74</v>
      </c>
      <c r="D104" s="23">
        <f>115+25</f>
        <v>140</v>
      </c>
      <c r="E104" s="16">
        <v>416</v>
      </c>
      <c r="F104" s="149">
        <v>16</v>
      </c>
      <c r="G104" s="149" t="s">
        <v>204</v>
      </c>
      <c r="H104" s="23">
        <f t="shared" ref="H104:I110" si="20">D104</f>
        <v>140</v>
      </c>
      <c r="I104" s="16">
        <f t="shared" si="20"/>
        <v>416</v>
      </c>
    </row>
    <row r="105" spans="1:9" s="5" customFormat="1" ht="23.25" customHeight="1" x14ac:dyDescent="0.25">
      <c r="A105" s="146"/>
      <c r="B105" s="147" t="s">
        <v>91</v>
      </c>
      <c r="C105" s="1" t="s">
        <v>77</v>
      </c>
      <c r="D105" s="23">
        <f>120+25</f>
        <v>145</v>
      </c>
      <c r="E105" s="16">
        <v>462</v>
      </c>
      <c r="F105" s="150"/>
      <c r="G105" s="150"/>
      <c r="H105" s="23">
        <f t="shared" si="20"/>
        <v>145</v>
      </c>
      <c r="I105" s="16">
        <f t="shared" si="20"/>
        <v>462</v>
      </c>
    </row>
    <row r="106" spans="1:9" s="5" customFormat="1" ht="23.25" customHeight="1" x14ac:dyDescent="0.25">
      <c r="A106" s="146"/>
      <c r="B106" s="148"/>
      <c r="C106" s="1" t="s">
        <v>78</v>
      </c>
      <c r="D106" s="23">
        <f>25+54</f>
        <v>79</v>
      </c>
      <c r="E106" s="16">
        <v>232</v>
      </c>
      <c r="F106" s="150"/>
      <c r="G106" s="150"/>
      <c r="H106" s="23">
        <f t="shared" si="20"/>
        <v>79</v>
      </c>
      <c r="I106" s="16">
        <f t="shared" si="20"/>
        <v>232</v>
      </c>
    </row>
    <row r="107" spans="1:9" s="5" customFormat="1" ht="23.25" customHeight="1" x14ac:dyDescent="0.25">
      <c r="A107" s="146"/>
      <c r="B107" s="157"/>
      <c r="C107" s="13" t="s">
        <v>79</v>
      </c>
      <c r="D107" s="23">
        <f>25+79</f>
        <v>104</v>
      </c>
      <c r="E107" s="16">
        <v>286</v>
      </c>
      <c r="F107" s="151"/>
      <c r="G107" s="151"/>
      <c r="H107" s="23">
        <f t="shared" si="20"/>
        <v>104</v>
      </c>
      <c r="I107" s="16">
        <f t="shared" si="20"/>
        <v>286</v>
      </c>
    </row>
    <row r="108" spans="1:9" s="5" customFormat="1" x14ac:dyDescent="0.25">
      <c r="A108" s="15"/>
      <c r="B108" s="137" t="s">
        <v>103</v>
      </c>
      <c r="C108" s="138"/>
      <c r="D108" s="54">
        <f>SUM(D104:D107)</f>
        <v>468</v>
      </c>
      <c r="E108" s="54">
        <f>SUM(E104:E107)</f>
        <v>1396</v>
      </c>
      <c r="F108" s="55"/>
      <c r="G108" s="57"/>
      <c r="H108" s="54">
        <f t="shared" si="20"/>
        <v>468</v>
      </c>
      <c r="I108" s="54">
        <f t="shared" si="20"/>
        <v>1396</v>
      </c>
    </row>
    <row r="109" spans="1:9" ht="27.75" customHeight="1" x14ac:dyDescent="0.25">
      <c r="A109" s="146">
        <f>COUNTA($A$2:A103)</f>
        <v>41</v>
      </c>
      <c r="B109" s="147" t="s">
        <v>87</v>
      </c>
      <c r="C109" s="13" t="s">
        <v>81</v>
      </c>
      <c r="D109" s="27">
        <v>1002</v>
      </c>
      <c r="E109" s="27">
        <v>2702</v>
      </c>
      <c r="F109" s="149">
        <v>17</v>
      </c>
      <c r="G109" s="149" t="s">
        <v>175</v>
      </c>
      <c r="H109" s="27">
        <f t="shared" si="20"/>
        <v>1002</v>
      </c>
      <c r="I109" s="27">
        <f t="shared" si="20"/>
        <v>2702</v>
      </c>
    </row>
    <row r="110" spans="1:9" ht="21.75" customHeight="1" x14ac:dyDescent="0.25">
      <c r="A110" s="146"/>
      <c r="B110" s="157"/>
      <c r="C110" s="13" t="s">
        <v>82</v>
      </c>
      <c r="D110" s="19">
        <v>451</v>
      </c>
      <c r="E110" s="19">
        <v>1510</v>
      </c>
      <c r="F110" s="151"/>
      <c r="G110" s="151"/>
      <c r="H110" s="27">
        <f t="shared" si="20"/>
        <v>451</v>
      </c>
      <c r="I110" s="27">
        <f t="shared" si="20"/>
        <v>1510</v>
      </c>
    </row>
    <row r="111" spans="1:9" ht="30" customHeight="1" x14ac:dyDescent="0.25">
      <c r="A111" s="15"/>
      <c r="B111" s="137" t="s">
        <v>103</v>
      </c>
      <c r="C111" s="138"/>
      <c r="D111" s="14">
        <f>SUM(D109:D110)</f>
        <v>1453</v>
      </c>
      <c r="E111" s="14">
        <f>SUM(E109:E110)</f>
        <v>4212</v>
      </c>
      <c r="F111" s="20"/>
      <c r="G111" s="20"/>
      <c r="H111" s="14">
        <f>SUM(H109:H110)</f>
        <v>1453</v>
      </c>
      <c r="I111" s="14">
        <f>SUM(I109:I110)</f>
        <v>4212</v>
      </c>
    </row>
    <row r="112" spans="1:9" ht="51" customHeight="1" x14ac:dyDescent="0.25">
      <c r="A112" s="15">
        <f>COUNTA($A$2:A111)</f>
        <v>43</v>
      </c>
      <c r="B112" s="1" t="s">
        <v>92</v>
      </c>
      <c r="C112" s="1" t="s">
        <v>80</v>
      </c>
      <c r="D112" s="19">
        <f>130+228</f>
        <v>358</v>
      </c>
      <c r="E112" s="19">
        <f>523+305</f>
        <v>828</v>
      </c>
      <c r="F112" s="149">
        <v>18</v>
      </c>
      <c r="G112" s="149" t="s">
        <v>197</v>
      </c>
      <c r="H112" s="19">
        <f t="shared" ref="H112:I113" si="21">D112</f>
        <v>358</v>
      </c>
      <c r="I112" s="19">
        <f t="shared" si="21"/>
        <v>828</v>
      </c>
    </row>
    <row r="113" spans="1:9" ht="54" customHeight="1" x14ac:dyDescent="0.25">
      <c r="A113" s="15">
        <f>COUNTA($A$2:A112)</f>
        <v>44</v>
      </c>
      <c r="B113" s="1" t="s">
        <v>93</v>
      </c>
      <c r="C113" s="1" t="s">
        <v>104</v>
      </c>
      <c r="D113" s="19">
        <v>192</v>
      </c>
      <c r="E113" s="19">
        <v>650</v>
      </c>
      <c r="F113" s="150"/>
      <c r="G113" s="150"/>
      <c r="H113" s="19">
        <f t="shared" si="21"/>
        <v>192</v>
      </c>
      <c r="I113" s="19">
        <f t="shared" si="21"/>
        <v>650</v>
      </c>
    </row>
    <row r="114" spans="1:9" ht="21.75" customHeight="1" x14ac:dyDescent="0.25">
      <c r="A114" s="15"/>
      <c r="B114" s="153" t="s">
        <v>103</v>
      </c>
      <c r="C114" s="153"/>
      <c r="D114" s="14">
        <f>SUM(D112:D113)</f>
        <v>550</v>
      </c>
      <c r="E114" s="14">
        <f>SUM(E112:E113)</f>
        <v>1478</v>
      </c>
      <c r="F114" s="20"/>
      <c r="G114" s="151"/>
      <c r="H114" s="14">
        <f>SUM(H112:H113)</f>
        <v>550</v>
      </c>
      <c r="I114" s="14">
        <f>SUM(I112:I113)</f>
        <v>1478</v>
      </c>
    </row>
    <row r="115" spans="1:9" s="5" customFormat="1" ht="129" customHeight="1" x14ac:dyDescent="0.25">
      <c r="A115" s="15">
        <f>COUNTA($A$2:A114)</f>
        <v>45</v>
      </c>
      <c r="B115" s="18" t="s">
        <v>142</v>
      </c>
      <c r="C115" s="17" t="s">
        <v>105</v>
      </c>
      <c r="D115" s="14">
        <f>736-43-150</f>
        <v>543</v>
      </c>
      <c r="E115" s="14">
        <f>2736-172-450</f>
        <v>2114</v>
      </c>
      <c r="F115" s="40">
        <v>19</v>
      </c>
      <c r="G115" s="149" t="s">
        <v>105</v>
      </c>
      <c r="H115" s="14">
        <f>D115</f>
        <v>543</v>
      </c>
      <c r="I115" s="14">
        <f>E115</f>
        <v>2114</v>
      </c>
    </row>
    <row r="116" spans="1:9" ht="75" customHeight="1" x14ac:dyDescent="0.25">
      <c r="A116" s="15"/>
      <c r="B116" s="153" t="s">
        <v>164</v>
      </c>
      <c r="C116" s="153"/>
      <c r="D116" s="14">
        <f>SUM(D115)</f>
        <v>543</v>
      </c>
      <c r="E116" s="14">
        <f t="shared" ref="E116:H116" si="22">SUM(E115)</f>
        <v>2114</v>
      </c>
      <c r="F116" s="20"/>
      <c r="G116" s="151"/>
      <c r="H116" s="14">
        <f t="shared" si="22"/>
        <v>543</v>
      </c>
      <c r="I116" s="14">
        <f>E116</f>
        <v>2114</v>
      </c>
    </row>
    <row r="117" spans="1:9" ht="31.5" x14ac:dyDescent="0.25">
      <c r="A117" s="15">
        <f>COUNTA($A$2:A116)</f>
        <v>46</v>
      </c>
      <c r="B117" s="22" t="s">
        <v>143</v>
      </c>
      <c r="C117" s="13" t="s">
        <v>106</v>
      </c>
      <c r="D117" s="19">
        <v>460</v>
      </c>
      <c r="E117" s="19">
        <v>1555</v>
      </c>
      <c r="F117" s="45">
        <v>20</v>
      </c>
      <c r="G117" s="45" t="s">
        <v>194</v>
      </c>
      <c r="H117" s="27">
        <f>D117</f>
        <v>460</v>
      </c>
      <c r="I117" s="27">
        <f>E117</f>
        <v>1555</v>
      </c>
    </row>
    <row r="118" spans="1:9" x14ac:dyDescent="0.25">
      <c r="A118" s="15"/>
      <c r="B118" s="153" t="s">
        <v>164</v>
      </c>
      <c r="C118" s="153"/>
      <c r="D118" s="14">
        <v>460</v>
      </c>
      <c r="E118" s="14">
        <v>1555</v>
      </c>
      <c r="F118" s="40"/>
      <c r="G118" s="31"/>
      <c r="H118" s="28">
        <v>460</v>
      </c>
      <c r="I118" s="28">
        <v>1555</v>
      </c>
    </row>
    <row r="119" spans="1:9" ht="69.75" customHeight="1" x14ac:dyDescent="0.25">
      <c r="A119" s="15">
        <f>COUNTA($A$2:A117)</f>
        <v>47</v>
      </c>
      <c r="B119" s="22" t="s">
        <v>144</v>
      </c>
      <c r="C119" s="13" t="s">
        <v>108</v>
      </c>
      <c r="D119" s="19">
        <v>456</v>
      </c>
      <c r="E119" s="19">
        <v>1890</v>
      </c>
      <c r="F119" s="18">
        <v>21</v>
      </c>
      <c r="G119" s="149" t="s">
        <v>207</v>
      </c>
      <c r="H119" s="27">
        <f>D119</f>
        <v>456</v>
      </c>
      <c r="I119" s="27">
        <f>E119</f>
        <v>1890</v>
      </c>
    </row>
    <row r="120" spans="1:9" ht="21.75" customHeight="1" x14ac:dyDescent="0.25">
      <c r="A120" s="15"/>
      <c r="B120" s="153" t="s">
        <v>103</v>
      </c>
      <c r="C120" s="153"/>
      <c r="D120" s="14">
        <f>SUM(D119)</f>
        <v>456</v>
      </c>
      <c r="E120" s="14">
        <f>SUM(E119)</f>
        <v>1890</v>
      </c>
      <c r="F120" s="20"/>
      <c r="G120" s="151"/>
      <c r="H120" s="14">
        <v>456</v>
      </c>
      <c r="I120" s="14">
        <v>1890</v>
      </c>
    </row>
    <row r="121" spans="1:9" ht="63" x14ac:dyDescent="0.25">
      <c r="A121" s="15">
        <f>COUNTA($A$2:A120)</f>
        <v>48</v>
      </c>
      <c r="B121" s="22" t="s">
        <v>210</v>
      </c>
      <c r="C121" s="22" t="s">
        <v>210</v>
      </c>
      <c r="D121" s="19">
        <f>43+2</f>
        <v>45</v>
      </c>
      <c r="E121" s="19">
        <v>172</v>
      </c>
      <c r="F121" s="46"/>
      <c r="G121" s="149" t="s">
        <v>173</v>
      </c>
      <c r="H121" s="27">
        <f t="shared" ref="H121:I123" si="23">D121</f>
        <v>45</v>
      </c>
      <c r="I121" s="27">
        <f t="shared" si="23"/>
        <v>172</v>
      </c>
    </row>
    <row r="122" spans="1:9" ht="27" customHeight="1" x14ac:dyDescent="0.25">
      <c r="A122" s="15">
        <f>COUNTA($A$2:A121)</f>
        <v>49</v>
      </c>
      <c r="B122" s="22" t="s">
        <v>145</v>
      </c>
      <c r="C122" s="13" t="s">
        <v>107</v>
      </c>
      <c r="D122" s="19">
        <v>337</v>
      </c>
      <c r="E122" s="19">
        <v>1230</v>
      </c>
      <c r="F122" s="149">
        <v>22</v>
      </c>
      <c r="G122" s="150"/>
      <c r="H122" s="27">
        <f t="shared" si="23"/>
        <v>337</v>
      </c>
      <c r="I122" s="27">
        <f t="shared" si="23"/>
        <v>1230</v>
      </c>
    </row>
    <row r="123" spans="1:9" ht="36" customHeight="1" x14ac:dyDescent="0.25">
      <c r="A123" s="15">
        <f>COUNTA($A$2:A122)</f>
        <v>50</v>
      </c>
      <c r="B123" s="22" t="s">
        <v>146</v>
      </c>
      <c r="C123" s="13" t="s">
        <v>109</v>
      </c>
      <c r="D123" s="19">
        <v>70</v>
      </c>
      <c r="E123" s="19">
        <v>269</v>
      </c>
      <c r="F123" s="151"/>
      <c r="G123" s="150"/>
      <c r="H123" s="27">
        <f t="shared" si="23"/>
        <v>70</v>
      </c>
      <c r="I123" s="27">
        <f t="shared" si="23"/>
        <v>269</v>
      </c>
    </row>
    <row r="124" spans="1:9" ht="75.95" customHeight="1" x14ac:dyDescent="0.25">
      <c r="A124" s="15"/>
      <c r="B124" s="153" t="s">
        <v>103</v>
      </c>
      <c r="C124" s="153"/>
      <c r="D124" s="14">
        <f>SUM(D121:D123)</f>
        <v>452</v>
      </c>
      <c r="E124" s="14">
        <f>SUM(E121:E123)</f>
        <v>1671</v>
      </c>
      <c r="F124" s="20"/>
      <c r="G124" s="151"/>
      <c r="H124" s="14">
        <f>SUM(H121:H123)</f>
        <v>452</v>
      </c>
      <c r="I124" s="14">
        <f>SUM(I121:I123)</f>
        <v>1671</v>
      </c>
    </row>
    <row r="125" spans="1:9" ht="57.6" customHeight="1" x14ac:dyDescent="0.25">
      <c r="A125" s="15">
        <f>COUNTA($A$2:A124)</f>
        <v>51</v>
      </c>
      <c r="B125" s="1" t="s">
        <v>147</v>
      </c>
      <c r="C125" s="1" t="s">
        <v>110</v>
      </c>
      <c r="D125" s="19">
        <v>372</v>
      </c>
      <c r="E125" s="19">
        <v>1218</v>
      </c>
      <c r="F125" s="153">
        <v>23</v>
      </c>
      <c r="G125" s="149" t="s">
        <v>110</v>
      </c>
      <c r="H125" s="27">
        <f>D125</f>
        <v>372</v>
      </c>
      <c r="I125" s="27">
        <f>E125</f>
        <v>1218</v>
      </c>
    </row>
    <row r="126" spans="1:9" ht="57.6" customHeight="1" x14ac:dyDescent="0.25">
      <c r="A126" s="15">
        <f>COUNTA($A$2:A125)</f>
        <v>52</v>
      </c>
      <c r="B126" s="1" t="s">
        <v>142</v>
      </c>
      <c r="C126" s="1" t="s">
        <v>209</v>
      </c>
      <c r="D126" s="16">
        <v>150</v>
      </c>
      <c r="E126" s="16">
        <v>450</v>
      </c>
      <c r="F126" s="153"/>
      <c r="G126" s="150"/>
      <c r="H126" s="27">
        <f>D126</f>
        <v>150</v>
      </c>
      <c r="I126" s="27">
        <f>E126</f>
        <v>450</v>
      </c>
    </row>
    <row r="127" spans="1:9" ht="22.15" customHeight="1" x14ac:dyDescent="0.25">
      <c r="A127" s="15"/>
      <c r="B127" s="153" t="s">
        <v>103</v>
      </c>
      <c r="C127" s="153"/>
      <c r="D127" s="14">
        <f>SUM(D125:D126)</f>
        <v>522</v>
      </c>
      <c r="E127" s="14">
        <f>SUM(E125:E126)</f>
        <v>1668</v>
      </c>
      <c r="F127" s="20"/>
      <c r="G127" s="151"/>
      <c r="H127" s="14">
        <f>SUM(H125:H126)</f>
        <v>522</v>
      </c>
      <c r="I127" s="14">
        <f>SUM(I125:I126)</f>
        <v>1668</v>
      </c>
    </row>
    <row r="128" spans="1:9" ht="70.5" customHeight="1" x14ac:dyDescent="0.25">
      <c r="A128" s="15">
        <f>COUNTA($A$2:A127)</f>
        <v>53</v>
      </c>
      <c r="B128" s="22" t="s">
        <v>211</v>
      </c>
      <c r="C128" s="22" t="s">
        <v>211</v>
      </c>
      <c r="D128" s="19">
        <v>32</v>
      </c>
      <c r="E128" s="19">
        <f>D128*4</f>
        <v>128</v>
      </c>
      <c r="F128" s="149">
        <v>24</v>
      </c>
      <c r="G128" s="149" t="s">
        <v>174</v>
      </c>
      <c r="H128" s="27">
        <f t="shared" ref="H128:I129" si="24">D128</f>
        <v>32</v>
      </c>
      <c r="I128" s="27">
        <f t="shared" si="24"/>
        <v>128</v>
      </c>
    </row>
    <row r="129" spans="1:9" ht="51.95" customHeight="1" x14ac:dyDescent="0.25">
      <c r="A129" s="15">
        <f>COUNTA($A$2:A128)</f>
        <v>54</v>
      </c>
      <c r="B129" s="22" t="s">
        <v>141</v>
      </c>
      <c r="C129" s="13" t="s">
        <v>113</v>
      </c>
      <c r="D129" s="19">
        <v>546</v>
      </c>
      <c r="E129" s="19">
        <v>1960</v>
      </c>
      <c r="F129" s="150"/>
      <c r="G129" s="150"/>
      <c r="H129" s="27">
        <f t="shared" si="24"/>
        <v>546</v>
      </c>
      <c r="I129" s="27">
        <f t="shared" si="24"/>
        <v>1960</v>
      </c>
    </row>
    <row r="130" spans="1:9" ht="67.5" customHeight="1" x14ac:dyDescent="0.25">
      <c r="A130" s="15"/>
      <c r="B130" s="153" t="s">
        <v>103</v>
      </c>
      <c r="C130" s="153"/>
      <c r="D130" s="14">
        <f>SUM(D128:D129)</f>
        <v>578</v>
      </c>
      <c r="E130" s="14">
        <f>SUM(E128:E129)</f>
        <v>2088</v>
      </c>
      <c r="F130" s="20"/>
      <c r="G130" s="151"/>
      <c r="H130" s="14">
        <f>SUM(H128:H129)</f>
        <v>578</v>
      </c>
      <c r="I130" s="14">
        <f>SUM(I128:I129)</f>
        <v>2088</v>
      </c>
    </row>
    <row r="131" spans="1:9" s="63" customFormat="1" ht="29.25" customHeight="1" x14ac:dyDescent="0.25">
      <c r="A131" s="58">
        <f>COUNTA($A$2:A130)</f>
        <v>55</v>
      </c>
      <c r="B131" s="59" t="s">
        <v>97</v>
      </c>
      <c r="C131" s="60" t="s">
        <v>111</v>
      </c>
      <c r="D131" s="61">
        <v>284</v>
      </c>
      <c r="E131" s="61">
        <v>1007</v>
      </c>
      <c r="F131" s="162">
        <v>25</v>
      </c>
      <c r="G131" s="164" t="s">
        <v>208</v>
      </c>
      <c r="H131" s="62">
        <f t="shared" ref="H131:I132" si="25">D131</f>
        <v>284</v>
      </c>
      <c r="I131" s="62">
        <f t="shared" si="25"/>
        <v>1007</v>
      </c>
    </row>
    <row r="132" spans="1:9" s="63" customFormat="1" ht="29.25" customHeight="1" x14ac:dyDescent="0.25">
      <c r="A132" s="58">
        <f>COUNTA($A$2:A131)</f>
        <v>56</v>
      </c>
      <c r="B132" s="59" t="s">
        <v>96</v>
      </c>
      <c r="C132" s="60" t="s">
        <v>112</v>
      </c>
      <c r="D132" s="61">
        <v>225</v>
      </c>
      <c r="E132" s="61">
        <v>675</v>
      </c>
      <c r="F132" s="163"/>
      <c r="G132" s="165"/>
      <c r="H132" s="62">
        <f t="shared" si="25"/>
        <v>225</v>
      </c>
      <c r="I132" s="62">
        <f t="shared" si="25"/>
        <v>675</v>
      </c>
    </row>
    <row r="133" spans="1:9" s="63" customFormat="1" ht="27" customHeight="1" x14ac:dyDescent="0.25">
      <c r="A133" s="58">
        <f>COUNTA($A$2:A132)</f>
        <v>57</v>
      </c>
      <c r="B133" s="166" t="s">
        <v>103</v>
      </c>
      <c r="C133" s="166"/>
      <c r="D133" s="64">
        <f>SUM(D131:D132)</f>
        <v>509</v>
      </c>
      <c r="E133" s="64">
        <f>SUM(E131:E132)</f>
        <v>1682</v>
      </c>
      <c r="F133" s="65"/>
      <c r="G133" s="66"/>
      <c r="H133" s="64">
        <f>SUM(H131:H132)</f>
        <v>509</v>
      </c>
      <c r="I133" s="64">
        <f>SUM(I131:I132)</f>
        <v>1682</v>
      </c>
    </row>
    <row r="134" spans="1:9" ht="48.75" customHeight="1" x14ac:dyDescent="0.25">
      <c r="A134" s="15">
        <f>COUNTA($A$2:A133)</f>
        <v>58</v>
      </c>
      <c r="B134" s="1" t="s">
        <v>94</v>
      </c>
      <c r="C134" s="1" t="s">
        <v>84</v>
      </c>
      <c r="D134" s="19">
        <v>489</v>
      </c>
      <c r="E134" s="19">
        <v>1682</v>
      </c>
      <c r="F134" s="40">
        <v>26</v>
      </c>
      <c r="G134" s="149" t="s">
        <v>149</v>
      </c>
      <c r="H134" s="19">
        <f t="shared" ref="H134:I136" si="26">D134</f>
        <v>489</v>
      </c>
      <c r="I134" s="19">
        <f t="shared" si="26"/>
        <v>1682</v>
      </c>
    </row>
    <row r="135" spans="1:9" ht="37.5" customHeight="1" x14ac:dyDescent="0.25">
      <c r="A135" s="15">
        <f>COUNTA($A$2:A134)</f>
        <v>59</v>
      </c>
      <c r="B135" s="153" t="s">
        <v>103</v>
      </c>
      <c r="C135" s="153"/>
      <c r="D135" s="28">
        <f>D134</f>
        <v>489</v>
      </c>
      <c r="E135" s="28">
        <f>E134</f>
        <v>1682</v>
      </c>
      <c r="F135" s="40"/>
      <c r="G135" s="151"/>
      <c r="H135" s="14">
        <f>H134</f>
        <v>489</v>
      </c>
      <c r="I135" s="14">
        <f>I134</f>
        <v>1682</v>
      </c>
    </row>
    <row r="136" spans="1:9" ht="41.25" customHeight="1" x14ac:dyDescent="0.25">
      <c r="A136" s="15">
        <f>COUNTA($A$2:A135)</f>
        <v>60</v>
      </c>
      <c r="B136" s="1" t="s">
        <v>95</v>
      </c>
      <c r="C136" s="22" t="s">
        <v>85</v>
      </c>
      <c r="D136" s="25">
        <f>565-32</f>
        <v>533</v>
      </c>
      <c r="E136" s="27">
        <f>1871-128</f>
        <v>1743</v>
      </c>
      <c r="F136" s="40">
        <v>27</v>
      </c>
      <c r="G136" s="149" t="s">
        <v>150</v>
      </c>
      <c r="H136" s="19">
        <f t="shared" si="26"/>
        <v>533</v>
      </c>
      <c r="I136" s="19">
        <f t="shared" si="26"/>
        <v>1743</v>
      </c>
    </row>
    <row r="137" spans="1:9" ht="30.75" customHeight="1" x14ac:dyDescent="0.25">
      <c r="A137" s="15"/>
      <c r="B137" s="153" t="s">
        <v>103</v>
      </c>
      <c r="C137" s="153"/>
      <c r="D137" s="21">
        <f>SUM(D136)</f>
        <v>533</v>
      </c>
      <c r="E137" s="21">
        <f>E136</f>
        <v>1743</v>
      </c>
      <c r="F137" s="20"/>
      <c r="G137" s="151"/>
      <c r="H137" s="28">
        <f>D137</f>
        <v>533</v>
      </c>
      <c r="I137" s="28">
        <f>E137</f>
        <v>1743</v>
      </c>
    </row>
    <row r="138" spans="1:9" ht="34.5" customHeight="1" x14ac:dyDescent="0.25">
      <c r="A138" s="159" t="s">
        <v>198</v>
      </c>
      <c r="B138" s="160"/>
      <c r="C138" s="161"/>
      <c r="D138" s="49">
        <f>D137+D135+D133+D130+D127+D124+D120+D118+D116+D114+D111+D108+D103+D98+D92+D87+D79+D72+D69+D64+D53+D46+D38+D30+D21+D15+D10</f>
        <v>15565</v>
      </c>
      <c r="E138" s="49">
        <f>E137+E135+E133+E130+E127+E124+E120+E118+E116+E114+E111+E108+E103+E98+E92+E87+E79+E72+E69+E64+E53+E46+E38+E30+E21+E15+E10</f>
        <v>56656</v>
      </c>
      <c r="F138" s="49"/>
      <c r="G138" s="49">
        <f>G137+G135+G130+G127+G124+G120+G118+G116+G114+G111+G103+G98+G92+G87+G79+G72+G69+G64+G53+G46+G38+G30+G21+G15+G10</f>
        <v>0</v>
      </c>
      <c r="H138" s="49">
        <f>H137+H135+H133+H130+H127+H124+H120+H118+H116+H114+H111+H108+H103+H98+H92+H87+H79+H72+H69+H64+H53+H46+H38+H30+H21+H15+H10</f>
        <v>15565</v>
      </c>
      <c r="I138" s="49">
        <f>I137+I135+I133+I130+I127+I124+I120+I118+I116+I114+I111+I108+I103+I98+I92+I87+I79+I72+I69+I64+I53+I46+I38+I30+I21+I15+I10</f>
        <v>56656</v>
      </c>
    </row>
    <row r="139" spans="1:9" ht="18" customHeight="1" x14ac:dyDescent="0.25">
      <c r="I139" s="11"/>
    </row>
    <row r="140" spans="1:9" ht="18" customHeight="1" x14ac:dyDescent="0.25"/>
    <row r="141" spans="1:9" s="9" customFormat="1" ht="18" customHeight="1" x14ac:dyDescent="0.25">
      <c r="C141" s="34"/>
      <c r="D141" s="10"/>
      <c r="E141" s="10"/>
      <c r="F141" s="36"/>
      <c r="G141" s="4"/>
      <c r="H141" s="11"/>
      <c r="I141" s="10"/>
    </row>
    <row r="142" spans="1:9" x14ac:dyDescent="0.25">
      <c r="D142" s="53"/>
    </row>
    <row r="147" spans="3:9" s="9" customFormat="1" ht="25.5" customHeight="1" x14ac:dyDescent="0.25">
      <c r="C147" s="34"/>
      <c r="D147" s="10"/>
      <c r="E147" s="10"/>
      <c r="F147" s="36"/>
      <c r="G147" s="4"/>
      <c r="H147" s="11"/>
      <c r="I147" s="10"/>
    </row>
    <row r="148" spans="3:9" s="9" customFormat="1" ht="27" customHeight="1" x14ac:dyDescent="0.25">
      <c r="C148" s="34"/>
      <c r="D148" s="10"/>
      <c r="E148" s="10"/>
      <c r="F148" s="36"/>
      <c r="G148" s="4"/>
      <c r="H148" s="11"/>
      <c r="I148" s="10"/>
    </row>
    <row r="149" spans="3:9" s="9" customFormat="1" ht="18" customHeight="1" x14ac:dyDescent="0.25">
      <c r="C149" s="34"/>
      <c r="D149" s="10"/>
      <c r="E149" s="10"/>
      <c r="F149" s="36"/>
      <c r="G149" s="4"/>
      <c r="H149" s="11"/>
      <c r="I149" s="10"/>
    </row>
    <row r="150" spans="3:9" s="9" customFormat="1" ht="18" customHeight="1" x14ac:dyDescent="0.25">
      <c r="C150" s="34"/>
      <c r="D150" s="10"/>
      <c r="E150" s="10"/>
      <c r="F150" s="36"/>
      <c r="G150" s="4"/>
      <c r="H150" s="11"/>
      <c r="I150" s="10"/>
    </row>
    <row r="151" spans="3:9" s="9" customFormat="1" ht="18" customHeight="1" x14ac:dyDescent="0.25">
      <c r="C151" s="34"/>
      <c r="D151" s="10"/>
      <c r="E151" s="10"/>
      <c r="F151" s="36"/>
      <c r="G151" s="4"/>
      <c r="H151" s="11"/>
      <c r="I151" s="10"/>
    </row>
    <row r="152" spans="3:9" s="9" customFormat="1" ht="18" customHeight="1" x14ac:dyDescent="0.25">
      <c r="C152" s="34"/>
      <c r="D152" s="10"/>
      <c r="E152" s="10"/>
      <c r="F152" s="36"/>
      <c r="G152" s="4"/>
      <c r="H152" s="11"/>
      <c r="I152" s="10"/>
    </row>
    <row r="153" spans="3:9" s="9" customFormat="1" ht="18" customHeight="1" x14ac:dyDescent="0.25">
      <c r="C153" s="34"/>
      <c r="D153" s="10"/>
      <c r="E153" s="10"/>
      <c r="F153" s="36"/>
      <c r="G153" s="4"/>
      <c r="H153" s="11"/>
      <c r="I153" s="10"/>
    </row>
    <row r="154" spans="3:9" s="9" customFormat="1" ht="18" customHeight="1" x14ac:dyDescent="0.25">
      <c r="C154" s="34"/>
      <c r="D154" s="10"/>
      <c r="E154" s="10"/>
      <c r="F154" s="36"/>
      <c r="G154" s="4"/>
      <c r="H154" s="11"/>
      <c r="I154" s="10"/>
    </row>
    <row r="155" spans="3:9" s="9" customFormat="1" ht="18" customHeight="1" x14ac:dyDescent="0.25">
      <c r="C155" s="34"/>
      <c r="D155" s="10"/>
      <c r="E155" s="10"/>
      <c r="F155" s="36"/>
      <c r="G155" s="4"/>
      <c r="H155" s="11"/>
      <c r="I155" s="10"/>
    </row>
    <row r="156" spans="3:9" s="9" customFormat="1" ht="18" customHeight="1" x14ac:dyDescent="0.25">
      <c r="C156" s="34"/>
      <c r="D156" s="10"/>
      <c r="E156" s="10"/>
      <c r="F156" s="36"/>
      <c r="G156" s="4"/>
      <c r="H156" s="11"/>
      <c r="I156" s="10"/>
    </row>
    <row r="157" spans="3:9" s="9" customFormat="1" ht="18" customHeight="1" x14ac:dyDescent="0.25">
      <c r="C157" s="34"/>
      <c r="D157" s="10"/>
      <c r="E157" s="10"/>
      <c r="F157" s="36"/>
      <c r="G157" s="4"/>
      <c r="H157" s="11"/>
      <c r="I157" s="10"/>
    </row>
    <row r="158" spans="3:9" s="9" customFormat="1" ht="18" customHeight="1" x14ac:dyDescent="0.25">
      <c r="C158" s="34"/>
      <c r="D158" s="10"/>
      <c r="E158" s="10"/>
      <c r="F158" s="36"/>
      <c r="G158" s="4"/>
      <c r="H158" s="11"/>
      <c r="I158" s="10"/>
    </row>
    <row r="159" spans="3:9" s="9" customFormat="1" ht="18" customHeight="1" x14ac:dyDescent="0.25">
      <c r="C159" s="34"/>
      <c r="D159" s="10"/>
      <c r="E159" s="10"/>
      <c r="F159" s="36"/>
      <c r="G159" s="4"/>
      <c r="H159" s="11"/>
      <c r="I159" s="10"/>
    </row>
    <row r="160" spans="3:9" s="9" customFormat="1" ht="18" customHeight="1" x14ac:dyDescent="0.25">
      <c r="C160" s="34"/>
      <c r="D160" s="10"/>
      <c r="E160" s="10"/>
      <c r="F160" s="36"/>
      <c r="G160" s="4"/>
      <c r="H160" s="11"/>
      <c r="I160" s="10"/>
    </row>
    <row r="161" spans="3:9" s="9" customFormat="1" ht="36" customHeight="1" x14ac:dyDescent="0.25">
      <c r="C161" s="34"/>
      <c r="D161" s="10"/>
      <c r="E161" s="10"/>
      <c r="F161" s="36"/>
      <c r="G161" s="4"/>
      <c r="H161" s="11"/>
      <c r="I161" s="10"/>
    </row>
    <row r="162" spans="3:9" s="9" customFormat="1" ht="18" customHeight="1" x14ac:dyDescent="0.25">
      <c r="C162" s="34"/>
      <c r="D162" s="10"/>
      <c r="E162" s="10"/>
      <c r="F162" s="36"/>
      <c r="G162" s="4"/>
      <c r="H162" s="11"/>
      <c r="I162" s="10"/>
    </row>
    <row r="163" spans="3:9" s="9" customFormat="1" ht="18" customHeight="1" x14ac:dyDescent="0.25">
      <c r="C163" s="34"/>
      <c r="D163" s="10"/>
      <c r="E163" s="10"/>
      <c r="F163" s="36"/>
      <c r="G163" s="4"/>
      <c r="H163" s="11"/>
      <c r="I163" s="10"/>
    </row>
    <row r="164" spans="3:9" s="9" customFormat="1" ht="18" customHeight="1" x14ac:dyDescent="0.25">
      <c r="C164" s="34"/>
      <c r="D164" s="10"/>
      <c r="E164" s="10"/>
      <c r="F164" s="36"/>
      <c r="G164" s="4"/>
      <c r="H164" s="11"/>
      <c r="I164" s="10"/>
    </row>
    <row r="165" spans="3:9" s="9" customFormat="1" ht="18" customHeight="1" x14ac:dyDescent="0.25">
      <c r="C165" s="34"/>
      <c r="D165" s="10"/>
      <c r="E165" s="10"/>
      <c r="F165" s="36"/>
      <c r="G165" s="4"/>
      <c r="H165" s="11"/>
      <c r="I165" s="10"/>
    </row>
    <row r="166" spans="3:9" s="9" customFormat="1" ht="18" customHeight="1" x14ac:dyDescent="0.25">
      <c r="C166" s="34"/>
      <c r="D166" s="10"/>
      <c r="E166" s="10"/>
      <c r="F166" s="36"/>
      <c r="G166" s="4"/>
      <c r="H166" s="11"/>
      <c r="I166" s="10"/>
    </row>
    <row r="167" spans="3:9" s="9" customFormat="1" ht="18" customHeight="1" x14ac:dyDescent="0.25">
      <c r="C167" s="34"/>
      <c r="D167" s="10"/>
      <c r="E167" s="10"/>
      <c r="F167" s="36"/>
      <c r="G167" s="4"/>
      <c r="H167" s="11"/>
      <c r="I167" s="10"/>
    </row>
    <row r="168" spans="3:9" s="9" customFormat="1" ht="18" customHeight="1" x14ac:dyDescent="0.25">
      <c r="C168" s="34"/>
      <c r="D168" s="10"/>
      <c r="E168" s="10"/>
      <c r="F168" s="36"/>
      <c r="G168" s="4"/>
      <c r="H168" s="11"/>
      <c r="I168" s="10"/>
    </row>
    <row r="169" spans="3:9" s="9" customFormat="1" ht="18" customHeight="1" x14ac:dyDescent="0.25">
      <c r="C169" s="34"/>
      <c r="D169" s="10"/>
      <c r="E169" s="10"/>
      <c r="F169" s="36"/>
      <c r="G169" s="4"/>
      <c r="H169" s="11"/>
      <c r="I169" s="10"/>
    </row>
    <row r="170" spans="3:9" s="9" customFormat="1" ht="18" customHeight="1" x14ac:dyDescent="0.25">
      <c r="C170" s="34"/>
      <c r="D170" s="10"/>
      <c r="E170" s="10"/>
      <c r="F170" s="36"/>
      <c r="G170" s="4"/>
      <c r="H170" s="11"/>
      <c r="I170" s="10"/>
    </row>
    <row r="171" spans="3:9" s="9" customFormat="1" x14ac:dyDescent="0.25">
      <c r="C171" s="34"/>
      <c r="D171" s="10"/>
      <c r="E171" s="10"/>
      <c r="F171" s="36"/>
      <c r="G171" s="4"/>
      <c r="H171" s="11"/>
      <c r="I171" s="10"/>
    </row>
  </sheetData>
  <mergeCells count="136">
    <mergeCell ref="A138:C138"/>
    <mergeCell ref="G136:G137"/>
    <mergeCell ref="B137:C137"/>
    <mergeCell ref="G134:G135"/>
    <mergeCell ref="B135:C135"/>
    <mergeCell ref="F131:F132"/>
    <mergeCell ref="G131:G132"/>
    <mergeCell ref="B133:C133"/>
    <mergeCell ref="B127:C127"/>
    <mergeCell ref="F128:F129"/>
    <mergeCell ref="G128:G130"/>
    <mergeCell ref="B130:C130"/>
    <mergeCell ref="B124:C124"/>
    <mergeCell ref="F125:F126"/>
    <mergeCell ref="G125:G127"/>
    <mergeCell ref="G121:G124"/>
    <mergeCell ref="F122:F123"/>
    <mergeCell ref="B118:C118"/>
    <mergeCell ref="G119:G120"/>
    <mergeCell ref="B120:C120"/>
    <mergeCell ref="G115:G116"/>
    <mergeCell ref="B116:C116"/>
    <mergeCell ref="B111:C111"/>
    <mergeCell ref="F112:F113"/>
    <mergeCell ref="G112:G114"/>
    <mergeCell ref="B114:C114"/>
    <mergeCell ref="A109:A110"/>
    <mergeCell ref="B109:B110"/>
    <mergeCell ref="F109:F110"/>
    <mergeCell ref="G109:G110"/>
    <mergeCell ref="B103:C103"/>
    <mergeCell ref="A104:A107"/>
    <mergeCell ref="F104:F107"/>
    <mergeCell ref="G104:G107"/>
    <mergeCell ref="B105:B107"/>
    <mergeCell ref="B108:C108"/>
    <mergeCell ref="A99:A102"/>
    <mergeCell ref="B99:B102"/>
    <mergeCell ref="F99:F102"/>
    <mergeCell ref="G99:G102"/>
    <mergeCell ref="B92:C92"/>
    <mergeCell ref="A93:A95"/>
    <mergeCell ref="B93:B95"/>
    <mergeCell ref="F93:F97"/>
    <mergeCell ref="G93:G97"/>
    <mergeCell ref="A96:A97"/>
    <mergeCell ref="B96:B97"/>
    <mergeCell ref="B98:C98"/>
    <mergeCell ref="A88:A91"/>
    <mergeCell ref="B88:B91"/>
    <mergeCell ref="F88:F91"/>
    <mergeCell ref="G88:G91"/>
    <mergeCell ref="A82:A86"/>
    <mergeCell ref="B82:B86"/>
    <mergeCell ref="B87:C87"/>
    <mergeCell ref="A80:A81"/>
    <mergeCell ref="B80:B81"/>
    <mergeCell ref="F80:F86"/>
    <mergeCell ref="G80:G86"/>
    <mergeCell ref="A74:A75"/>
    <mergeCell ref="B74:B75"/>
    <mergeCell ref="A76:A78"/>
    <mergeCell ref="B76:B78"/>
    <mergeCell ref="B72:C72"/>
    <mergeCell ref="F73:F78"/>
    <mergeCell ref="G73:G78"/>
    <mergeCell ref="B79:C79"/>
    <mergeCell ref="F70:F72"/>
    <mergeCell ref="G70:G72"/>
    <mergeCell ref="G65:G68"/>
    <mergeCell ref="A66:A67"/>
    <mergeCell ref="B66:B67"/>
    <mergeCell ref="B69:C69"/>
    <mergeCell ref="A54:A55"/>
    <mergeCell ref="B54:B55"/>
    <mergeCell ref="F55:F63"/>
    <mergeCell ref="G55:G63"/>
    <mergeCell ref="A56:A59"/>
    <mergeCell ref="B56:B59"/>
    <mergeCell ref="A60:A61"/>
    <mergeCell ref="B60:B61"/>
    <mergeCell ref="A62:A63"/>
    <mergeCell ref="B62:B63"/>
    <mergeCell ref="B64:C64"/>
    <mergeCell ref="A50:A51"/>
    <mergeCell ref="B50:B51"/>
    <mergeCell ref="B53:C53"/>
    <mergeCell ref="B46:C46"/>
    <mergeCell ref="A47:A49"/>
    <mergeCell ref="B47:B49"/>
    <mergeCell ref="F47:F52"/>
    <mergeCell ref="G47:G52"/>
    <mergeCell ref="A41:A43"/>
    <mergeCell ref="B41:B43"/>
    <mergeCell ref="A44:A45"/>
    <mergeCell ref="B44:B45"/>
    <mergeCell ref="B15:C15"/>
    <mergeCell ref="A16:A18"/>
    <mergeCell ref="B16:B18"/>
    <mergeCell ref="F16:F20"/>
    <mergeCell ref="G16:G20"/>
    <mergeCell ref="B21:C21"/>
    <mergeCell ref="A39:A40"/>
    <mergeCell ref="B39:B40"/>
    <mergeCell ref="F39:F45"/>
    <mergeCell ref="G39:G45"/>
    <mergeCell ref="G31:G37"/>
    <mergeCell ref="A32:A33"/>
    <mergeCell ref="B32:B33"/>
    <mergeCell ref="A35:A36"/>
    <mergeCell ref="B35:B36"/>
    <mergeCell ref="B38:C38"/>
    <mergeCell ref="A1:E1"/>
    <mergeCell ref="F1:I1"/>
    <mergeCell ref="F22:F29"/>
    <mergeCell ref="F31:F37"/>
    <mergeCell ref="F65:F68"/>
    <mergeCell ref="A11:A14"/>
    <mergeCell ref="B11:B14"/>
    <mergeCell ref="F11:F14"/>
    <mergeCell ref="G11:G14"/>
    <mergeCell ref="A8:A9"/>
    <mergeCell ref="B8:B9"/>
    <mergeCell ref="B10:C10"/>
    <mergeCell ref="A3:A7"/>
    <mergeCell ref="B3:B7"/>
    <mergeCell ref="F3:F9"/>
    <mergeCell ref="G3:G9"/>
    <mergeCell ref="G22:G29"/>
    <mergeCell ref="A23:A24"/>
    <mergeCell ref="B23:B24"/>
    <mergeCell ref="A26:A27"/>
    <mergeCell ref="B26:B27"/>
    <mergeCell ref="A28:A29"/>
    <mergeCell ref="B28:B29"/>
    <mergeCell ref="B30:C30"/>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9"/>
  <sheetViews>
    <sheetView topLeftCell="A31" workbookViewId="0">
      <selection activeCell="D2" sqref="D2:D8"/>
    </sheetView>
  </sheetViews>
  <sheetFormatPr defaultColWidth="9.140625" defaultRowHeight="15.75" x14ac:dyDescent="0.25"/>
  <cols>
    <col min="1" max="1" width="6.7109375" style="36" customWidth="1"/>
    <col min="2" max="2" width="18" style="34" customWidth="1"/>
    <col min="3" max="3" width="8" style="10" bestFit="1" customWidth="1"/>
    <col min="4" max="4" width="26.85546875" style="36" customWidth="1"/>
    <col min="5" max="5" width="17.7109375" style="36" customWidth="1"/>
    <col min="6" max="16384" width="9.140625" style="4"/>
  </cols>
  <sheetData>
    <row r="1" spans="1:5" s="5" customFormat="1" ht="53.25" customHeight="1" x14ac:dyDescent="0.25">
      <c r="A1" s="40" t="s">
        <v>101</v>
      </c>
      <c r="B1" s="37" t="s">
        <v>83</v>
      </c>
      <c r="C1" s="14" t="s">
        <v>98</v>
      </c>
      <c r="D1" s="40" t="s">
        <v>148</v>
      </c>
      <c r="E1" s="40" t="s">
        <v>219</v>
      </c>
    </row>
    <row r="2" spans="1:5" x14ac:dyDescent="0.25">
      <c r="A2" s="152">
        <f>COUNTA(A$1:$A1)</f>
        <v>1</v>
      </c>
      <c r="B2" s="35" t="s">
        <v>2</v>
      </c>
      <c r="C2" s="16">
        <v>69</v>
      </c>
      <c r="D2" s="152"/>
      <c r="E2" s="170">
        <f>SUM(C2:C8)</f>
        <v>609</v>
      </c>
    </row>
    <row r="3" spans="1:5" x14ac:dyDescent="0.25">
      <c r="A3" s="152"/>
      <c r="B3" s="35" t="s">
        <v>3</v>
      </c>
      <c r="C3" s="16">
        <v>62</v>
      </c>
      <c r="D3" s="152"/>
      <c r="E3" s="152"/>
    </row>
    <row r="4" spans="1:5" x14ac:dyDescent="0.25">
      <c r="A4" s="152"/>
      <c r="B4" s="35" t="s">
        <v>4</v>
      </c>
      <c r="C4" s="16">
        <v>107</v>
      </c>
      <c r="D4" s="152"/>
      <c r="E4" s="152"/>
    </row>
    <row r="5" spans="1:5" x14ac:dyDescent="0.25">
      <c r="A5" s="152"/>
      <c r="B5" s="35" t="s">
        <v>5</v>
      </c>
      <c r="C5" s="16">
        <v>103</v>
      </c>
      <c r="D5" s="152"/>
      <c r="E5" s="152"/>
    </row>
    <row r="6" spans="1:5" x14ac:dyDescent="0.25">
      <c r="A6" s="152"/>
      <c r="B6" s="35" t="s">
        <v>6</v>
      </c>
      <c r="C6" s="16">
        <v>97</v>
      </c>
      <c r="D6" s="152"/>
      <c r="E6" s="152"/>
    </row>
    <row r="7" spans="1:5" x14ac:dyDescent="0.25">
      <c r="A7" s="152"/>
      <c r="B7" s="35" t="s">
        <v>7</v>
      </c>
      <c r="C7" s="16">
        <v>81</v>
      </c>
      <c r="D7" s="152"/>
      <c r="E7" s="152"/>
    </row>
    <row r="8" spans="1:5" x14ac:dyDescent="0.25">
      <c r="A8" s="152"/>
      <c r="B8" s="1" t="s">
        <v>8</v>
      </c>
      <c r="C8" s="16">
        <v>90</v>
      </c>
      <c r="D8" s="152"/>
      <c r="E8" s="152"/>
    </row>
    <row r="9" spans="1:5" x14ac:dyDescent="0.25">
      <c r="A9" s="153">
        <v>2</v>
      </c>
      <c r="B9" s="35" t="s">
        <v>9</v>
      </c>
      <c r="C9" s="19">
        <v>107</v>
      </c>
      <c r="D9" s="153"/>
      <c r="E9" s="169">
        <f>SUM(C9:C12)</f>
        <v>457</v>
      </c>
    </row>
    <row r="10" spans="1:5" x14ac:dyDescent="0.25">
      <c r="A10" s="153"/>
      <c r="B10" s="35" t="s">
        <v>10</v>
      </c>
      <c r="C10" s="16">
        <f>126+8</f>
        <v>134</v>
      </c>
      <c r="D10" s="153"/>
      <c r="E10" s="153"/>
    </row>
    <row r="11" spans="1:5" x14ac:dyDescent="0.25">
      <c r="A11" s="153"/>
      <c r="B11" s="1" t="s">
        <v>11</v>
      </c>
      <c r="C11" s="19">
        <f>122+32</f>
        <v>154</v>
      </c>
      <c r="D11" s="153"/>
      <c r="E11" s="153"/>
    </row>
    <row r="12" spans="1:5" x14ac:dyDescent="0.25">
      <c r="A12" s="153"/>
      <c r="B12" s="1" t="s">
        <v>12</v>
      </c>
      <c r="C12" s="19">
        <v>62</v>
      </c>
      <c r="D12" s="153"/>
      <c r="E12" s="153"/>
    </row>
    <row r="13" spans="1:5" x14ac:dyDescent="0.25">
      <c r="A13" s="153">
        <v>3</v>
      </c>
      <c r="B13" s="35" t="s">
        <v>13</v>
      </c>
      <c r="C13" s="16">
        <v>125</v>
      </c>
      <c r="D13" s="153"/>
      <c r="E13" s="169">
        <f>SUM(C13:C17)</f>
        <v>463</v>
      </c>
    </row>
    <row r="14" spans="1:5" x14ac:dyDescent="0.25">
      <c r="A14" s="153"/>
      <c r="B14" s="35" t="s">
        <v>14</v>
      </c>
      <c r="C14" s="16">
        <v>116</v>
      </c>
      <c r="D14" s="153"/>
      <c r="E14" s="153"/>
    </row>
    <row r="15" spans="1:5" x14ac:dyDescent="0.25">
      <c r="A15" s="153"/>
      <c r="B15" s="35" t="s">
        <v>15</v>
      </c>
      <c r="C15" s="16">
        <v>133</v>
      </c>
      <c r="D15" s="153"/>
      <c r="E15" s="153"/>
    </row>
    <row r="16" spans="1:5" x14ac:dyDescent="0.25">
      <c r="A16" s="153"/>
      <c r="B16" s="35" t="s">
        <v>23</v>
      </c>
      <c r="C16" s="16">
        <v>26</v>
      </c>
      <c r="D16" s="153"/>
      <c r="E16" s="153"/>
    </row>
    <row r="17" spans="1:5" x14ac:dyDescent="0.25">
      <c r="A17" s="153"/>
      <c r="B17" s="35" t="s">
        <v>26</v>
      </c>
      <c r="C17" s="16">
        <v>63</v>
      </c>
      <c r="D17" s="153"/>
      <c r="E17" s="153"/>
    </row>
    <row r="18" spans="1:5" s="3" customFormat="1" x14ac:dyDescent="0.25">
      <c r="A18" s="167">
        <v>4</v>
      </c>
      <c r="B18" s="15" t="s">
        <v>16</v>
      </c>
      <c r="C18" s="16">
        <v>75</v>
      </c>
      <c r="D18" s="167"/>
      <c r="E18" s="167">
        <f>SUM(C18:C25)</f>
        <v>751</v>
      </c>
    </row>
    <row r="19" spans="1:5" s="5" customFormat="1" x14ac:dyDescent="0.25">
      <c r="A19" s="167"/>
      <c r="B19" s="35" t="s">
        <v>23</v>
      </c>
      <c r="C19" s="19">
        <v>4</v>
      </c>
      <c r="D19" s="167"/>
      <c r="E19" s="167"/>
    </row>
    <row r="20" spans="1:5" s="5" customFormat="1" x14ac:dyDescent="0.25">
      <c r="A20" s="167"/>
      <c r="B20" s="35" t="s">
        <v>25</v>
      </c>
      <c r="C20" s="19">
        <v>99</v>
      </c>
      <c r="D20" s="167"/>
      <c r="E20" s="167"/>
    </row>
    <row r="21" spans="1:5" s="5" customFormat="1" x14ac:dyDescent="0.25">
      <c r="A21" s="167"/>
      <c r="B21" s="35" t="s">
        <v>26</v>
      </c>
      <c r="C21" s="19">
        <v>40</v>
      </c>
      <c r="D21" s="167"/>
      <c r="E21" s="167"/>
    </row>
    <row r="22" spans="1:5" s="5" customFormat="1" x14ac:dyDescent="0.25">
      <c r="A22" s="167"/>
      <c r="B22" s="35" t="s">
        <v>27</v>
      </c>
      <c r="C22" s="19">
        <v>153</v>
      </c>
      <c r="D22" s="167"/>
      <c r="E22" s="167"/>
    </row>
    <row r="23" spans="1:5" s="5" customFormat="1" x14ac:dyDescent="0.25">
      <c r="A23" s="167"/>
      <c r="B23" s="35" t="s">
        <v>28</v>
      </c>
      <c r="C23" s="19">
        <v>161</v>
      </c>
      <c r="D23" s="167"/>
      <c r="E23" s="167"/>
    </row>
    <row r="24" spans="1:5" s="5" customFormat="1" x14ac:dyDescent="0.25">
      <c r="A24" s="167"/>
      <c r="B24" s="35" t="s">
        <v>29</v>
      </c>
      <c r="C24" s="19">
        <v>85</v>
      </c>
      <c r="D24" s="167"/>
      <c r="E24" s="167"/>
    </row>
    <row r="25" spans="1:5" s="5" customFormat="1" x14ac:dyDescent="0.25">
      <c r="A25" s="167"/>
      <c r="B25" s="35" t="s">
        <v>30</v>
      </c>
      <c r="C25" s="19">
        <f>132+2</f>
        <v>134</v>
      </c>
      <c r="D25" s="167"/>
      <c r="E25" s="167"/>
    </row>
    <row r="26" spans="1:5" s="5" customFormat="1" x14ac:dyDescent="0.25">
      <c r="A26" s="167">
        <v>5</v>
      </c>
      <c r="B26" s="35" t="s">
        <v>23</v>
      </c>
      <c r="C26" s="19">
        <v>40</v>
      </c>
      <c r="D26" s="167">
        <v>5</v>
      </c>
      <c r="E26" s="167">
        <f>SUM(C26:C32)</f>
        <v>608</v>
      </c>
    </row>
    <row r="27" spans="1:5" s="5" customFormat="1" x14ac:dyDescent="0.25">
      <c r="A27" s="167"/>
      <c r="B27" s="35" t="s">
        <v>31</v>
      </c>
      <c r="C27" s="19">
        <v>73</v>
      </c>
      <c r="D27" s="167"/>
      <c r="E27" s="167"/>
    </row>
    <row r="28" spans="1:5" x14ac:dyDescent="0.25">
      <c r="A28" s="167"/>
      <c r="B28" s="35" t="s">
        <v>32</v>
      </c>
      <c r="C28" s="19">
        <v>81</v>
      </c>
      <c r="D28" s="167"/>
      <c r="E28" s="167"/>
    </row>
    <row r="29" spans="1:5" x14ac:dyDescent="0.25">
      <c r="A29" s="167"/>
      <c r="B29" s="35" t="s">
        <v>33</v>
      </c>
      <c r="C29" s="19">
        <v>87</v>
      </c>
      <c r="D29" s="167"/>
      <c r="E29" s="167"/>
    </row>
    <row r="30" spans="1:5" x14ac:dyDescent="0.25">
      <c r="A30" s="167"/>
      <c r="B30" s="35" t="s">
        <v>34</v>
      </c>
      <c r="C30" s="19">
        <v>66</v>
      </c>
      <c r="D30" s="167"/>
      <c r="E30" s="167"/>
    </row>
    <row r="31" spans="1:5" x14ac:dyDescent="0.25">
      <c r="A31" s="167"/>
      <c r="B31" s="35" t="s">
        <v>35</v>
      </c>
      <c r="C31" s="19">
        <v>70</v>
      </c>
      <c r="D31" s="167"/>
      <c r="E31" s="167"/>
    </row>
    <row r="32" spans="1:5" x14ac:dyDescent="0.25">
      <c r="A32" s="167"/>
      <c r="B32" s="35" t="s">
        <v>36</v>
      </c>
      <c r="C32" s="19">
        <v>191</v>
      </c>
      <c r="D32" s="167"/>
      <c r="E32" s="167"/>
    </row>
    <row r="33" spans="1:5" x14ac:dyDescent="0.25">
      <c r="A33" s="153">
        <v>6</v>
      </c>
      <c r="B33" s="35" t="s">
        <v>0</v>
      </c>
      <c r="C33" s="19">
        <v>65</v>
      </c>
      <c r="D33" s="153">
        <v>6</v>
      </c>
      <c r="E33" s="169">
        <f>SUM(C33:C39)</f>
        <v>460</v>
      </c>
    </row>
    <row r="34" spans="1:5" x14ac:dyDescent="0.25">
      <c r="A34" s="153"/>
      <c r="B34" s="35" t="s">
        <v>1</v>
      </c>
      <c r="C34" s="19">
        <v>78</v>
      </c>
      <c r="D34" s="153"/>
      <c r="E34" s="153"/>
    </row>
    <row r="35" spans="1:5" x14ac:dyDescent="0.25">
      <c r="A35" s="153"/>
      <c r="B35" s="35" t="s">
        <v>47</v>
      </c>
      <c r="C35" s="16">
        <f>72+3</f>
        <v>75</v>
      </c>
      <c r="D35" s="153"/>
      <c r="E35" s="153"/>
    </row>
    <row r="36" spans="1:5" x14ac:dyDescent="0.25">
      <c r="A36" s="153"/>
      <c r="B36" s="35" t="s">
        <v>48</v>
      </c>
      <c r="C36" s="16">
        <f>70+2</f>
        <v>72</v>
      </c>
      <c r="D36" s="153"/>
      <c r="E36" s="153"/>
    </row>
    <row r="37" spans="1:5" x14ac:dyDescent="0.25">
      <c r="A37" s="153"/>
      <c r="B37" s="1" t="s">
        <v>49</v>
      </c>
      <c r="C37" s="19">
        <f>40+12</f>
        <v>52</v>
      </c>
      <c r="D37" s="153"/>
      <c r="E37" s="153"/>
    </row>
    <row r="38" spans="1:5" x14ac:dyDescent="0.25">
      <c r="A38" s="153"/>
      <c r="B38" s="35" t="s">
        <v>50</v>
      </c>
      <c r="C38" s="16">
        <f>30+28</f>
        <v>58</v>
      </c>
      <c r="D38" s="153"/>
      <c r="E38" s="153"/>
    </row>
    <row r="39" spans="1:5" x14ac:dyDescent="0.25">
      <c r="A39" s="153"/>
      <c r="B39" s="35" t="s">
        <v>51</v>
      </c>
      <c r="C39" s="16">
        <v>60</v>
      </c>
      <c r="D39" s="153"/>
      <c r="E39" s="153"/>
    </row>
    <row r="40" spans="1:5" x14ac:dyDescent="0.25">
      <c r="A40" s="153">
        <v>7</v>
      </c>
      <c r="B40" s="1" t="s">
        <v>17</v>
      </c>
      <c r="C40" s="23">
        <v>152</v>
      </c>
      <c r="D40" s="153">
        <v>7</v>
      </c>
      <c r="E40" s="169">
        <f>SUM(C40:C45)</f>
        <v>614</v>
      </c>
    </row>
    <row r="41" spans="1:5" x14ac:dyDescent="0.25">
      <c r="A41" s="153"/>
      <c r="B41" s="35" t="s">
        <v>18</v>
      </c>
      <c r="C41" s="23">
        <v>179</v>
      </c>
      <c r="D41" s="153"/>
      <c r="E41" s="153"/>
    </row>
    <row r="42" spans="1:5" x14ac:dyDescent="0.25">
      <c r="A42" s="153"/>
      <c r="B42" s="35" t="s">
        <v>19</v>
      </c>
      <c r="C42" s="23">
        <v>83</v>
      </c>
      <c r="D42" s="153"/>
      <c r="E42" s="153"/>
    </row>
    <row r="43" spans="1:5" x14ac:dyDescent="0.25">
      <c r="A43" s="153"/>
      <c r="B43" s="35" t="s">
        <v>44</v>
      </c>
      <c r="C43" s="23">
        <v>65</v>
      </c>
      <c r="D43" s="153"/>
      <c r="E43" s="153"/>
    </row>
    <row r="44" spans="1:5" x14ac:dyDescent="0.25">
      <c r="A44" s="153"/>
      <c r="B44" s="35" t="s">
        <v>45</v>
      </c>
      <c r="C44" s="23">
        <v>110</v>
      </c>
      <c r="D44" s="153"/>
      <c r="E44" s="153"/>
    </row>
    <row r="45" spans="1:5" x14ac:dyDescent="0.25">
      <c r="A45" s="153"/>
      <c r="B45" s="15" t="s">
        <v>49</v>
      </c>
      <c r="C45" s="16">
        <v>25</v>
      </c>
      <c r="D45" s="153"/>
      <c r="E45" s="153"/>
    </row>
    <row r="46" spans="1:5" s="8" customFormat="1" x14ac:dyDescent="0.25">
      <c r="A46" s="20"/>
      <c r="B46" s="35" t="s">
        <v>42</v>
      </c>
      <c r="C46" s="19">
        <v>40</v>
      </c>
      <c r="D46" s="153">
        <v>8</v>
      </c>
      <c r="E46" s="169">
        <f>SUM(C46:C55)</f>
        <v>767</v>
      </c>
    </row>
    <row r="47" spans="1:5" x14ac:dyDescent="0.25">
      <c r="A47" s="153">
        <v>8</v>
      </c>
      <c r="B47" s="35" t="s">
        <v>43</v>
      </c>
      <c r="C47" s="16">
        <v>115</v>
      </c>
      <c r="D47" s="153"/>
      <c r="E47" s="153"/>
    </row>
    <row r="48" spans="1:5" x14ac:dyDescent="0.25">
      <c r="A48" s="153"/>
      <c r="B48" s="35" t="s">
        <v>59</v>
      </c>
      <c r="C48" s="23">
        <v>95</v>
      </c>
      <c r="D48" s="153"/>
      <c r="E48" s="153"/>
    </row>
    <row r="49" spans="1:5" x14ac:dyDescent="0.25">
      <c r="A49" s="153"/>
      <c r="B49" s="35" t="s">
        <v>60</v>
      </c>
      <c r="C49" s="23">
        <v>66</v>
      </c>
      <c r="D49" s="153"/>
      <c r="E49" s="153"/>
    </row>
    <row r="50" spans="1:5" x14ac:dyDescent="0.25">
      <c r="A50" s="153"/>
      <c r="B50" s="35" t="s">
        <v>61</v>
      </c>
      <c r="C50" s="23">
        <v>124</v>
      </c>
      <c r="D50" s="153"/>
      <c r="E50" s="153"/>
    </row>
    <row r="51" spans="1:5" x14ac:dyDescent="0.25">
      <c r="A51" s="153"/>
      <c r="B51" s="35" t="s">
        <v>62</v>
      </c>
      <c r="C51" s="23">
        <v>109</v>
      </c>
      <c r="D51" s="153"/>
      <c r="E51" s="153"/>
    </row>
    <row r="52" spans="1:5" x14ac:dyDescent="0.25">
      <c r="A52" s="153"/>
      <c r="B52" s="35" t="s">
        <v>46</v>
      </c>
      <c r="C52" s="19">
        <v>83</v>
      </c>
      <c r="D52" s="153"/>
      <c r="E52" s="153"/>
    </row>
    <row r="53" spans="1:5" x14ac:dyDescent="0.25">
      <c r="A53" s="153"/>
      <c r="B53" s="35" t="s">
        <v>44</v>
      </c>
      <c r="C53" s="23">
        <v>65</v>
      </c>
      <c r="D53" s="153"/>
      <c r="E53" s="153"/>
    </row>
    <row r="54" spans="1:5" x14ac:dyDescent="0.25">
      <c r="A54" s="153"/>
      <c r="B54" s="35" t="s">
        <v>50</v>
      </c>
      <c r="C54" s="23">
        <v>56</v>
      </c>
      <c r="D54" s="153"/>
      <c r="E54" s="153"/>
    </row>
    <row r="55" spans="1:5" x14ac:dyDescent="0.25">
      <c r="A55" s="153"/>
      <c r="B55" s="35" t="s">
        <v>51</v>
      </c>
      <c r="C55" s="23">
        <v>14</v>
      </c>
      <c r="D55" s="153"/>
      <c r="E55" s="153"/>
    </row>
    <row r="56" spans="1:5" x14ac:dyDescent="0.25">
      <c r="A56" s="168">
        <v>9</v>
      </c>
      <c r="B56" s="35" t="s">
        <v>19</v>
      </c>
      <c r="C56" s="19">
        <v>51</v>
      </c>
      <c r="D56" s="168">
        <v>9</v>
      </c>
      <c r="E56" s="168">
        <f>SUM(C56:C59)</f>
        <v>455</v>
      </c>
    </row>
    <row r="57" spans="1:5" x14ac:dyDescent="0.25">
      <c r="A57" s="168"/>
      <c r="B57" s="35" t="s">
        <v>20</v>
      </c>
      <c r="C57" s="23">
        <v>169</v>
      </c>
      <c r="D57" s="168"/>
      <c r="E57" s="168"/>
    </row>
    <row r="58" spans="1:5" x14ac:dyDescent="0.25">
      <c r="A58" s="168"/>
      <c r="B58" s="35" t="s">
        <v>21</v>
      </c>
      <c r="C58" s="23">
        <v>133</v>
      </c>
      <c r="D58" s="168"/>
      <c r="E58" s="168"/>
    </row>
    <row r="59" spans="1:5" x14ac:dyDescent="0.25">
      <c r="A59" s="168"/>
      <c r="B59" s="35" t="s">
        <v>42</v>
      </c>
      <c r="C59" s="23">
        <v>102</v>
      </c>
      <c r="D59" s="168"/>
      <c r="E59" s="168"/>
    </row>
    <row r="60" spans="1:5" s="33" customFormat="1" x14ac:dyDescent="0.25">
      <c r="A60" s="153">
        <v>10</v>
      </c>
      <c r="B60" s="15" t="s">
        <v>22</v>
      </c>
      <c r="C60" s="16">
        <v>256</v>
      </c>
      <c r="D60" s="153">
        <v>10</v>
      </c>
      <c r="E60" s="169">
        <f>SUM(C60:C61)</f>
        <v>465</v>
      </c>
    </row>
    <row r="61" spans="1:5" s="43" customFormat="1" x14ac:dyDescent="0.25">
      <c r="A61" s="153"/>
      <c r="B61" s="15" t="s">
        <v>24</v>
      </c>
      <c r="C61" s="16">
        <f>166+28+15</f>
        <v>209</v>
      </c>
      <c r="D61" s="153"/>
      <c r="E61" s="153"/>
    </row>
    <row r="62" spans="1:5" x14ac:dyDescent="0.25">
      <c r="A62" s="153">
        <v>11</v>
      </c>
      <c r="B62" s="35" t="s">
        <v>23</v>
      </c>
      <c r="C62" s="16">
        <v>55</v>
      </c>
      <c r="D62" s="153">
        <v>11</v>
      </c>
      <c r="E62" s="169">
        <f>SUM(C62:C67)</f>
        <v>639</v>
      </c>
    </row>
    <row r="63" spans="1:5" x14ac:dyDescent="0.25">
      <c r="A63" s="153"/>
      <c r="B63" s="35" t="s">
        <v>37</v>
      </c>
      <c r="C63" s="23">
        <v>121</v>
      </c>
      <c r="D63" s="153"/>
      <c r="E63" s="153"/>
    </row>
    <row r="64" spans="1:5" x14ac:dyDescent="0.25">
      <c r="A64" s="153"/>
      <c r="B64" s="35" t="s">
        <v>38</v>
      </c>
      <c r="C64" s="23">
        <v>137</v>
      </c>
      <c r="D64" s="153"/>
      <c r="E64" s="153"/>
    </row>
    <row r="65" spans="1:5" x14ac:dyDescent="0.25">
      <c r="A65" s="153"/>
      <c r="B65" s="35" t="s">
        <v>39</v>
      </c>
      <c r="C65" s="23">
        <v>104</v>
      </c>
      <c r="D65" s="153"/>
      <c r="E65" s="153"/>
    </row>
    <row r="66" spans="1:5" x14ac:dyDescent="0.25">
      <c r="A66" s="153"/>
      <c r="B66" s="35" t="s">
        <v>40</v>
      </c>
      <c r="C66" s="23">
        <v>98</v>
      </c>
      <c r="D66" s="153"/>
      <c r="E66" s="153"/>
    </row>
    <row r="67" spans="1:5" x14ac:dyDescent="0.25">
      <c r="A67" s="153"/>
      <c r="B67" s="15" t="s">
        <v>41</v>
      </c>
      <c r="C67" s="16">
        <v>124</v>
      </c>
      <c r="D67" s="153"/>
      <c r="E67" s="153"/>
    </row>
    <row r="68" spans="1:5" x14ac:dyDescent="0.25">
      <c r="A68" s="153">
        <v>12</v>
      </c>
      <c r="B68" s="35" t="s">
        <v>52</v>
      </c>
      <c r="C68" s="23">
        <v>124</v>
      </c>
      <c r="D68" s="153">
        <v>12</v>
      </c>
      <c r="E68" s="169">
        <f>SUM(C68:C74)</f>
        <v>647</v>
      </c>
    </row>
    <row r="69" spans="1:5" x14ac:dyDescent="0.25">
      <c r="A69" s="153"/>
      <c r="B69" s="35" t="s">
        <v>53</v>
      </c>
      <c r="C69" s="23">
        <v>130</v>
      </c>
      <c r="D69" s="153"/>
      <c r="E69" s="153"/>
    </row>
    <row r="70" spans="1:5" x14ac:dyDescent="0.25">
      <c r="A70" s="153"/>
      <c r="B70" s="35" t="s">
        <v>54</v>
      </c>
      <c r="C70" s="23">
        <v>86</v>
      </c>
      <c r="D70" s="153"/>
      <c r="E70" s="153"/>
    </row>
    <row r="71" spans="1:5" x14ac:dyDescent="0.25">
      <c r="A71" s="153"/>
      <c r="B71" s="35" t="s">
        <v>55</v>
      </c>
      <c r="C71" s="23">
        <v>86</v>
      </c>
      <c r="D71" s="153"/>
      <c r="E71" s="153"/>
    </row>
    <row r="72" spans="1:5" x14ac:dyDescent="0.25">
      <c r="A72" s="153"/>
      <c r="B72" s="35" t="s">
        <v>56</v>
      </c>
      <c r="C72" s="23">
        <v>84</v>
      </c>
      <c r="D72" s="153"/>
      <c r="E72" s="153"/>
    </row>
    <row r="73" spans="1:5" x14ac:dyDescent="0.25">
      <c r="A73" s="153"/>
      <c r="B73" s="35" t="s">
        <v>57</v>
      </c>
      <c r="C73" s="23">
        <v>65</v>
      </c>
      <c r="D73" s="153"/>
      <c r="E73" s="153"/>
    </row>
    <row r="74" spans="1:5" x14ac:dyDescent="0.25">
      <c r="A74" s="153"/>
      <c r="B74" s="35" t="s">
        <v>58</v>
      </c>
      <c r="C74" s="23">
        <v>72</v>
      </c>
      <c r="D74" s="153"/>
      <c r="E74" s="153"/>
    </row>
    <row r="75" spans="1:5" x14ac:dyDescent="0.25">
      <c r="A75" s="153">
        <v>13</v>
      </c>
      <c r="B75" s="35" t="s">
        <v>63</v>
      </c>
      <c r="C75" s="23">
        <v>166</v>
      </c>
      <c r="D75" s="153">
        <v>13</v>
      </c>
      <c r="E75" s="169">
        <f>SUM(C75:C78)</f>
        <v>537</v>
      </c>
    </row>
    <row r="76" spans="1:5" x14ac:dyDescent="0.25">
      <c r="A76" s="153"/>
      <c r="B76" s="35" t="s">
        <v>64</v>
      </c>
      <c r="C76" s="23">
        <v>166</v>
      </c>
      <c r="D76" s="153"/>
      <c r="E76" s="153"/>
    </row>
    <row r="77" spans="1:5" x14ac:dyDescent="0.25">
      <c r="A77" s="153"/>
      <c r="B77" s="35" t="s">
        <v>65</v>
      </c>
      <c r="C77" s="23">
        <v>84</v>
      </c>
      <c r="D77" s="153"/>
      <c r="E77" s="153"/>
    </row>
    <row r="78" spans="1:5" x14ac:dyDescent="0.25">
      <c r="A78" s="153"/>
      <c r="B78" s="35" t="s">
        <v>66</v>
      </c>
      <c r="C78" s="23">
        <v>121</v>
      </c>
      <c r="D78" s="153"/>
      <c r="E78" s="153"/>
    </row>
    <row r="79" spans="1:5" x14ac:dyDescent="0.25">
      <c r="A79" s="153">
        <v>14</v>
      </c>
      <c r="B79" s="35" t="s">
        <v>71</v>
      </c>
      <c r="C79" s="23">
        <v>84</v>
      </c>
      <c r="D79" s="153">
        <v>14</v>
      </c>
      <c r="E79" s="169">
        <f>SUM(C79:C83)</f>
        <v>589</v>
      </c>
    </row>
    <row r="80" spans="1:5" x14ac:dyDescent="0.25">
      <c r="A80" s="153"/>
      <c r="B80" s="35" t="s">
        <v>72</v>
      </c>
      <c r="C80" s="23">
        <v>112</v>
      </c>
      <c r="D80" s="153"/>
      <c r="E80" s="153"/>
    </row>
    <row r="81" spans="1:5" x14ac:dyDescent="0.25">
      <c r="A81" s="153"/>
      <c r="B81" s="35" t="s">
        <v>73</v>
      </c>
      <c r="C81" s="23">
        <v>70</v>
      </c>
      <c r="D81" s="153"/>
      <c r="E81" s="153"/>
    </row>
    <row r="82" spans="1:5" x14ac:dyDescent="0.25">
      <c r="A82" s="153"/>
      <c r="B82" s="35" t="s">
        <v>75</v>
      </c>
      <c r="C82" s="23">
        <v>148</v>
      </c>
      <c r="D82" s="153"/>
      <c r="E82" s="153"/>
    </row>
    <row r="83" spans="1:5" x14ac:dyDescent="0.25">
      <c r="A83" s="153"/>
      <c r="B83" s="35" t="s">
        <v>76</v>
      </c>
      <c r="C83" s="23">
        <v>175</v>
      </c>
      <c r="D83" s="153"/>
      <c r="E83" s="153"/>
    </row>
    <row r="84" spans="1:5" x14ac:dyDescent="0.25">
      <c r="A84" s="153">
        <v>15</v>
      </c>
      <c r="B84" s="35" t="s">
        <v>67</v>
      </c>
      <c r="C84" s="23">
        <v>98</v>
      </c>
      <c r="D84" s="153">
        <v>15</v>
      </c>
      <c r="E84" s="169">
        <f>SUM(C84:C87)</f>
        <v>491</v>
      </c>
    </row>
    <row r="85" spans="1:5" x14ac:dyDescent="0.25">
      <c r="A85" s="153"/>
      <c r="B85" s="35" t="s">
        <v>68</v>
      </c>
      <c r="C85" s="23">
        <v>147</v>
      </c>
      <c r="D85" s="153"/>
      <c r="E85" s="153"/>
    </row>
    <row r="86" spans="1:5" s="3" customFormat="1" x14ac:dyDescent="0.25">
      <c r="A86" s="153"/>
      <c r="B86" s="1" t="s">
        <v>69</v>
      </c>
      <c r="C86" s="16">
        <v>133</v>
      </c>
      <c r="D86" s="153"/>
      <c r="E86" s="153"/>
    </row>
    <row r="87" spans="1:5" s="5" customFormat="1" x14ac:dyDescent="0.25">
      <c r="A87" s="153"/>
      <c r="B87" s="1" t="s">
        <v>70</v>
      </c>
      <c r="C87" s="23">
        <v>113</v>
      </c>
      <c r="D87" s="153"/>
      <c r="E87" s="153"/>
    </row>
    <row r="88" spans="1:5" s="5" customFormat="1" x14ac:dyDescent="0.25">
      <c r="A88" s="153">
        <v>16</v>
      </c>
      <c r="B88" s="35" t="s">
        <v>74</v>
      </c>
      <c r="C88" s="23">
        <f>115+25</f>
        <v>140</v>
      </c>
      <c r="D88" s="153">
        <v>16</v>
      </c>
      <c r="E88" s="169">
        <f>SUM(C88:C91)</f>
        <v>468</v>
      </c>
    </row>
    <row r="89" spans="1:5" s="5" customFormat="1" x14ac:dyDescent="0.25">
      <c r="A89" s="153"/>
      <c r="B89" s="1" t="s">
        <v>77</v>
      </c>
      <c r="C89" s="23">
        <f>120+25</f>
        <v>145</v>
      </c>
      <c r="D89" s="153"/>
      <c r="E89" s="153"/>
    </row>
    <row r="90" spans="1:5" s="5" customFormat="1" x14ac:dyDescent="0.25">
      <c r="A90" s="153"/>
      <c r="B90" s="1" t="s">
        <v>78</v>
      </c>
      <c r="C90" s="23">
        <f>25+54</f>
        <v>79</v>
      </c>
      <c r="D90" s="153"/>
      <c r="E90" s="153"/>
    </row>
    <row r="91" spans="1:5" s="5" customFormat="1" x14ac:dyDescent="0.25">
      <c r="A91" s="153"/>
      <c r="B91" s="1" t="s">
        <v>79</v>
      </c>
      <c r="C91" s="23">
        <f>25+79</f>
        <v>104</v>
      </c>
      <c r="D91" s="153"/>
      <c r="E91" s="153"/>
    </row>
    <row r="92" spans="1:5" x14ac:dyDescent="0.25">
      <c r="A92" s="153">
        <v>17</v>
      </c>
      <c r="B92" s="1" t="s">
        <v>81</v>
      </c>
      <c r="C92" s="19">
        <v>1002</v>
      </c>
      <c r="D92" s="153">
        <v>17</v>
      </c>
      <c r="E92" s="169">
        <f>SUM(C92:C93)</f>
        <v>1453</v>
      </c>
    </row>
    <row r="93" spans="1:5" x14ac:dyDescent="0.25">
      <c r="A93" s="153"/>
      <c r="B93" s="1" t="s">
        <v>82</v>
      </c>
      <c r="C93" s="19">
        <v>451</v>
      </c>
      <c r="D93" s="153"/>
      <c r="E93" s="153"/>
    </row>
    <row r="94" spans="1:5" x14ac:dyDescent="0.25">
      <c r="A94" s="153">
        <v>18</v>
      </c>
      <c r="B94" s="1" t="s">
        <v>80</v>
      </c>
      <c r="C94" s="19">
        <f>130+228</f>
        <v>358</v>
      </c>
      <c r="D94" s="153">
        <v>18</v>
      </c>
      <c r="E94" s="169">
        <f>SUM(C94:C95)</f>
        <v>550</v>
      </c>
    </row>
    <row r="95" spans="1:5" x14ac:dyDescent="0.25">
      <c r="A95" s="153"/>
      <c r="B95" s="1" t="s">
        <v>104</v>
      </c>
      <c r="C95" s="19">
        <v>192</v>
      </c>
      <c r="D95" s="153"/>
      <c r="E95" s="153"/>
    </row>
    <row r="96" spans="1:5" s="5" customFormat="1" ht="31.5" x14ac:dyDescent="0.25">
      <c r="A96" s="40">
        <v>19</v>
      </c>
      <c r="B96" s="40" t="s">
        <v>105</v>
      </c>
      <c r="C96" s="14">
        <f>736-43-150</f>
        <v>543</v>
      </c>
      <c r="D96" s="40">
        <v>19</v>
      </c>
      <c r="E96" s="68">
        <f>C96</f>
        <v>543</v>
      </c>
    </row>
    <row r="97" spans="1:5" s="5" customFormat="1" ht="31.5" x14ac:dyDescent="0.25">
      <c r="A97" s="40">
        <v>20</v>
      </c>
      <c r="B97" s="40" t="s">
        <v>106</v>
      </c>
      <c r="C97" s="14">
        <v>460</v>
      </c>
      <c r="D97" s="40">
        <v>20</v>
      </c>
      <c r="E97" s="68">
        <f>C97</f>
        <v>460</v>
      </c>
    </row>
    <row r="98" spans="1:5" x14ac:dyDescent="0.25">
      <c r="A98" s="40">
        <v>21</v>
      </c>
      <c r="B98" s="1" t="s">
        <v>108</v>
      </c>
      <c r="C98" s="19">
        <v>456</v>
      </c>
      <c r="D98" s="40">
        <v>21</v>
      </c>
      <c r="E98" s="68">
        <f>C98</f>
        <v>456</v>
      </c>
    </row>
    <row r="99" spans="1:5" ht="47.25" x14ac:dyDescent="0.25">
      <c r="A99" s="20"/>
      <c r="B99" s="1" t="s">
        <v>210</v>
      </c>
      <c r="C99" s="19">
        <f>43+2</f>
        <v>45</v>
      </c>
      <c r="D99" s="153">
        <v>22</v>
      </c>
      <c r="E99" s="169">
        <f>SUM(C99:C101)</f>
        <v>452</v>
      </c>
    </row>
    <row r="100" spans="1:5" x14ac:dyDescent="0.25">
      <c r="A100" s="153">
        <v>22</v>
      </c>
      <c r="B100" s="1" t="s">
        <v>107</v>
      </c>
      <c r="C100" s="19">
        <v>337</v>
      </c>
      <c r="D100" s="153"/>
      <c r="E100" s="153"/>
    </row>
    <row r="101" spans="1:5" x14ac:dyDescent="0.25">
      <c r="A101" s="153"/>
      <c r="B101" s="1" t="s">
        <v>109</v>
      </c>
      <c r="C101" s="19">
        <v>70</v>
      </c>
      <c r="D101" s="153"/>
      <c r="E101" s="153"/>
    </row>
    <row r="102" spans="1:5" x14ac:dyDescent="0.25">
      <c r="A102" s="153">
        <v>23</v>
      </c>
      <c r="B102" s="1" t="s">
        <v>110</v>
      </c>
      <c r="C102" s="19">
        <v>372</v>
      </c>
      <c r="D102" s="153">
        <v>23</v>
      </c>
      <c r="E102" s="169">
        <f>SUM(C102:C103)</f>
        <v>522</v>
      </c>
    </row>
    <row r="103" spans="1:5" ht="47.25" x14ac:dyDescent="0.25">
      <c r="A103" s="153"/>
      <c r="B103" s="1" t="s">
        <v>209</v>
      </c>
      <c r="C103" s="16">
        <v>150</v>
      </c>
      <c r="D103" s="153"/>
      <c r="E103" s="153"/>
    </row>
    <row r="104" spans="1:5" ht="47.25" x14ac:dyDescent="0.25">
      <c r="A104" s="153">
        <v>24</v>
      </c>
      <c r="B104" s="1" t="s">
        <v>211</v>
      </c>
      <c r="C104" s="19">
        <v>32</v>
      </c>
      <c r="D104" s="153">
        <v>24</v>
      </c>
      <c r="E104" s="169">
        <f>SUM(C104:C105)</f>
        <v>578</v>
      </c>
    </row>
    <row r="105" spans="1:5" ht="31.5" x14ac:dyDescent="0.25">
      <c r="A105" s="153"/>
      <c r="B105" s="1" t="s">
        <v>113</v>
      </c>
      <c r="C105" s="19">
        <v>546</v>
      </c>
      <c r="D105" s="153"/>
      <c r="E105" s="153"/>
    </row>
    <row r="106" spans="1:5" x14ac:dyDescent="0.25">
      <c r="A106" s="167">
        <v>25</v>
      </c>
      <c r="B106" s="1" t="s">
        <v>111</v>
      </c>
      <c r="C106" s="19">
        <v>284</v>
      </c>
      <c r="D106" s="167">
        <v>25</v>
      </c>
      <c r="E106" s="167">
        <f>SUM(C106:C107)</f>
        <v>509</v>
      </c>
    </row>
    <row r="107" spans="1:5" x14ac:dyDescent="0.25">
      <c r="A107" s="167"/>
      <c r="B107" s="1" t="s">
        <v>112</v>
      </c>
      <c r="C107" s="19">
        <v>225</v>
      </c>
      <c r="D107" s="167"/>
      <c r="E107" s="167"/>
    </row>
    <row r="108" spans="1:5" ht="31.5" x14ac:dyDescent="0.25">
      <c r="A108" s="40">
        <v>26</v>
      </c>
      <c r="B108" s="1" t="s">
        <v>84</v>
      </c>
      <c r="C108" s="19">
        <v>489</v>
      </c>
      <c r="D108" s="40">
        <v>26</v>
      </c>
      <c r="E108" s="68">
        <f>C108</f>
        <v>489</v>
      </c>
    </row>
    <row r="109" spans="1:5" ht="31.5" x14ac:dyDescent="0.25">
      <c r="A109" s="40">
        <v>27</v>
      </c>
      <c r="B109" s="1" t="s">
        <v>85</v>
      </c>
      <c r="C109" s="16">
        <f>565-32</f>
        <v>533</v>
      </c>
      <c r="D109" s="40">
        <v>27</v>
      </c>
      <c r="E109" s="68">
        <f>C109</f>
        <v>533</v>
      </c>
    </row>
    <row r="110" spans="1:5" x14ac:dyDescent="0.25">
      <c r="A110" s="40"/>
      <c r="B110" s="35"/>
      <c r="C110" s="69"/>
      <c r="D110" s="40"/>
      <c r="E110" s="68">
        <f>SUM(E2:E109)</f>
        <v>15565</v>
      </c>
    </row>
    <row r="115" spans="1:5" s="9" customFormat="1" ht="25.5" customHeight="1" x14ac:dyDescent="0.25">
      <c r="A115" s="36"/>
      <c r="B115" s="34"/>
      <c r="C115" s="10"/>
      <c r="D115" s="36"/>
      <c r="E115" s="36"/>
    </row>
    <row r="116" spans="1:5" s="9" customFormat="1" ht="27" customHeight="1" x14ac:dyDescent="0.25">
      <c r="A116" s="36"/>
      <c r="B116" s="34"/>
      <c r="C116" s="10"/>
      <c r="D116" s="36"/>
      <c r="E116" s="36"/>
    </row>
    <row r="117" spans="1:5" s="9" customFormat="1" ht="18" customHeight="1" x14ac:dyDescent="0.25">
      <c r="A117" s="36"/>
      <c r="B117" s="34"/>
      <c r="C117" s="10"/>
      <c r="D117" s="36"/>
      <c r="E117" s="36"/>
    </row>
    <row r="118" spans="1:5" s="9" customFormat="1" ht="18" customHeight="1" x14ac:dyDescent="0.25">
      <c r="A118" s="36"/>
      <c r="B118" s="34"/>
      <c r="C118" s="10"/>
      <c r="D118" s="36"/>
      <c r="E118" s="36"/>
    </row>
    <row r="119" spans="1:5" s="9" customFormat="1" ht="18" customHeight="1" x14ac:dyDescent="0.25">
      <c r="A119" s="36"/>
      <c r="B119" s="34"/>
      <c r="C119" s="10"/>
      <c r="D119" s="36"/>
      <c r="E119" s="36"/>
    </row>
    <row r="120" spans="1:5" s="9" customFormat="1" ht="18" customHeight="1" x14ac:dyDescent="0.25">
      <c r="A120" s="36"/>
      <c r="B120" s="34"/>
      <c r="C120" s="10"/>
      <c r="D120" s="36"/>
      <c r="E120" s="36"/>
    </row>
    <row r="121" spans="1:5" s="9" customFormat="1" ht="18" customHeight="1" x14ac:dyDescent="0.25">
      <c r="A121" s="36"/>
      <c r="B121" s="34"/>
      <c r="C121" s="10"/>
      <c r="D121" s="36"/>
      <c r="E121" s="36"/>
    </row>
    <row r="122" spans="1:5" s="9" customFormat="1" ht="18" customHeight="1" x14ac:dyDescent="0.25">
      <c r="A122" s="36"/>
      <c r="B122" s="34"/>
      <c r="C122" s="10"/>
      <c r="D122" s="36"/>
      <c r="E122" s="36"/>
    </row>
    <row r="123" spans="1:5" s="9" customFormat="1" ht="18" customHeight="1" x14ac:dyDescent="0.25">
      <c r="A123" s="36"/>
      <c r="B123" s="34"/>
      <c r="C123" s="10"/>
      <c r="D123" s="36"/>
      <c r="E123" s="36"/>
    </row>
    <row r="124" spans="1:5" s="9" customFormat="1" ht="18" customHeight="1" x14ac:dyDescent="0.25">
      <c r="A124" s="36"/>
      <c r="B124" s="34"/>
      <c r="C124" s="10"/>
      <c r="D124" s="36"/>
      <c r="E124" s="36"/>
    </row>
    <row r="125" spans="1:5" s="9" customFormat="1" ht="18" customHeight="1" x14ac:dyDescent="0.25">
      <c r="A125" s="36"/>
      <c r="B125" s="34"/>
      <c r="C125" s="10"/>
      <c r="D125" s="36"/>
      <c r="E125" s="36"/>
    </row>
    <row r="126" spans="1:5" s="9" customFormat="1" ht="18" customHeight="1" x14ac:dyDescent="0.25">
      <c r="A126" s="36"/>
      <c r="B126" s="34"/>
      <c r="C126" s="10"/>
      <c r="D126" s="36"/>
      <c r="E126" s="36"/>
    </row>
    <row r="127" spans="1:5" s="9" customFormat="1" ht="18" customHeight="1" x14ac:dyDescent="0.25">
      <c r="A127" s="36"/>
      <c r="B127" s="34"/>
      <c r="C127" s="10"/>
      <c r="D127" s="36"/>
      <c r="E127" s="36"/>
    </row>
    <row r="128" spans="1:5" s="9" customFormat="1" ht="18" customHeight="1" x14ac:dyDescent="0.25">
      <c r="A128" s="36"/>
      <c r="B128" s="34"/>
      <c r="C128" s="10"/>
      <c r="D128" s="36"/>
      <c r="E128" s="36"/>
    </row>
    <row r="129" spans="1:5" s="9" customFormat="1" ht="36" customHeight="1" x14ac:dyDescent="0.25">
      <c r="A129" s="36"/>
      <c r="B129" s="34"/>
      <c r="C129" s="10"/>
      <c r="D129" s="36"/>
      <c r="E129" s="36"/>
    </row>
    <row r="130" spans="1:5" s="9" customFormat="1" ht="18" customHeight="1" x14ac:dyDescent="0.25">
      <c r="A130" s="36"/>
      <c r="B130" s="34"/>
      <c r="C130" s="10"/>
      <c r="D130" s="36"/>
      <c r="E130" s="36"/>
    </row>
    <row r="131" spans="1:5" s="9" customFormat="1" ht="18" customHeight="1" x14ac:dyDescent="0.25">
      <c r="A131" s="36"/>
      <c r="B131" s="34"/>
      <c r="C131" s="10"/>
      <c r="D131" s="36"/>
      <c r="E131" s="36"/>
    </row>
    <row r="132" spans="1:5" s="9" customFormat="1" ht="18" customHeight="1" x14ac:dyDescent="0.25">
      <c r="A132" s="36"/>
      <c r="B132" s="34"/>
      <c r="C132" s="10"/>
      <c r="D132" s="36"/>
      <c r="E132" s="36"/>
    </row>
    <row r="133" spans="1:5" s="9" customFormat="1" ht="18" customHeight="1" x14ac:dyDescent="0.25">
      <c r="A133" s="36"/>
      <c r="B133" s="34"/>
      <c r="C133" s="10"/>
      <c r="D133" s="36"/>
      <c r="E133" s="36"/>
    </row>
    <row r="134" spans="1:5" s="9" customFormat="1" ht="18" customHeight="1" x14ac:dyDescent="0.25">
      <c r="A134" s="36"/>
      <c r="B134" s="34"/>
      <c r="C134" s="10"/>
      <c r="D134" s="36"/>
      <c r="E134" s="36"/>
    </row>
    <row r="135" spans="1:5" s="9" customFormat="1" ht="18" customHeight="1" x14ac:dyDescent="0.25">
      <c r="A135" s="36"/>
      <c r="B135" s="34"/>
      <c r="C135" s="10"/>
      <c r="D135" s="36"/>
      <c r="E135" s="36"/>
    </row>
    <row r="136" spans="1:5" s="9" customFormat="1" ht="18" customHeight="1" x14ac:dyDescent="0.25">
      <c r="A136" s="36"/>
      <c r="B136" s="34"/>
      <c r="C136" s="10"/>
      <c r="D136" s="36"/>
      <c r="E136" s="36"/>
    </row>
    <row r="137" spans="1:5" s="9" customFormat="1" ht="18" customHeight="1" x14ac:dyDescent="0.25">
      <c r="A137" s="36"/>
      <c r="B137" s="34"/>
      <c r="C137" s="10"/>
      <c r="D137" s="36"/>
      <c r="E137" s="36"/>
    </row>
    <row r="138" spans="1:5" s="9" customFormat="1" ht="18" customHeight="1" x14ac:dyDescent="0.25">
      <c r="A138" s="36"/>
      <c r="B138" s="34"/>
      <c r="C138" s="10"/>
      <c r="D138" s="36"/>
      <c r="E138" s="36"/>
    </row>
    <row r="139" spans="1:5" s="9" customFormat="1" x14ac:dyDescent="0.25">
      <c r="A139" s="36"/>
      <c r="B139" s="34"/>
      <c r="C139" s="10"/>
      <c r="D139" s="36"/>
      <c r="E139" s="36"/>
    </row>
  </sheetData>
  <mergeCells count="66">
    <mergeCell ref="E102:E103"/>
    <mergeCell ref="E104:E105"/>
    <mergeCell ref="E106:E107"/>
    <mergeCell ref="D46:D55"/>
    <mergeCell ref="E46:E55"/>
    <mergeCell ref="D99:D101"/>
    <mergeCell ref="E99:E101"/>
    <mergeCell ref="E60:E61"/>
    <mergeCell ref="E62:E67"/>
    <mergeCell ref="E68:E74"/>
    <mergeCell ref="E75:E78"/>
    <mergeCell ref="E79:E83"/>
    <mergeCell ref="E84:E87"/>
    <mergeCell ref="E88:E91"/>
    <mergeCell ref="E92:E93"/>
    <mergeCell ref="E94:E95"/>
    <mergeCell ref="E33:E39"/>
    <mergeCell ref="E40:E45"/>
    <mergeCell ref="E56:E59"/>
    <mergeCell ref="D2:D8"/>
    <mergeCell ref="D9:D12"/>
    <mergeCell ref="D13:D17"/>
    <mergeCell ref="D18:D25"/>
    <mergeCell ref="D26:D32"/>
    <mergeCell ref="D33:D39"/>
    <mergeCell ref="D40:D45"/>
    <mergeCell ref="D56:D59"/>
    <mergeCell ref="E2:E8"/>
    <mergeCell ref="E9:E12"/>
    <mergeCell ref="E13:E17"/>
    <mergeCell ref="E18:E25"/>
    <mergeCell ref="E26:E32"/>
    <mergeCell ref="D60:D61"/>
    <mergeCell ref="D62:D67"/>
    <mergeCell ref="D68:D74"/>
    <mergeCell ref="D75:D78"/>
    <mergeCell ref="D79:D83"/>
    <mergeCell ref="D84:D87"/>
    <mergeCell ref="D88:D91"/>
    <mergeCell ref="D92:D93"/>
    <mergeCell ref="D94:D95"/>
    <mergeCell ref="D102:D103"/>
    <mergeCell ref="D104:D105"/>
    <mergeCell ref="D106:D107"/>
    <mergeCell ref="A102:A103"/>
    <mergeCell ref="A104:A105"/>
    <mergeCell ref="A106:A107"/>
    <mergeCell ref="A94:A95"/>
    <mergeCell ref="A100:A101"/>
    <mergeCell ref="A88:A91"/>
    <mergeCell ref="A92:A93"/>
    <mergeCell ref="A79:A83"/>
    <mergeCell ref="A84:A87"/>
    <mergeCell ref="A68:A74"/>
    <mergeCell ref="A75:A78"/>
    <mergeCell ref="A56:A59"/>
    <mergeCell ref="A60:A61"/>
    <mergeCell ref="A62:A67"/>
    <mergeCell ref="A2:A8"/>
    <mergeCell ref="A40:A45"/>
    <mergeCell ref="A47:A55"/>
    <mergeCell ref="A26:A32"/>
    <mergeCell ref="A33:A39"/>
    <mergeCell ref="A9:A12"/>
    <mergeCell ref="A13:A17"/>
    <mergeCell ref="A18:A25"/>
  </mergeCells>
  <pageMargins left="0.7" right="0.94" top="0.75" bottom="0.75" header="0.3" footer="0.3"/>
  <pageSetup paperSize="9" orientation="portrait" verticalDpi="0" copies="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0"/>
  <sheetViews>
    <sheetView topLeftCell="A51" workbookViewId="0">
      <selection activeCell="M120" sqref="M73:M120"/>
    </sheetView>
  </sheetViews>
  <sheetFormatPr defaultColWidth="9.140625" defaultRowHeight="15" x14ac:dyDescent="0.25"/>
  <cols>
    <col min="1" max="16384" width="9.140625" style="2"/>
  </cols>
  <sheetData>
    <row r="1" spans="1:2" x14ac:dyDescent="0.25">
      <c r="A1" s="171">
        <v>609</v>
      </c>
      <c r="B1" s="70"/>
    </row>
    <row r="2" spans="1:2" x14ac:dyDescent="0.25">
      <c r="A2" s="171"/>
      <c r="B2" s="70"/>
    </row>
    <row r="3" spans="1:2" x14ac:dyDescent="0.25">
      <c r="A3" s="171"/>
      <c r="B3" s="70"/>
    </row>
    <row r="4" spans="1:2" x14ac:dyDescent="0.25">
      <c r="A4" s="171"/>
      <c r="B4" s="70"/>
    </row>
    <row r="5" spans="1:2" x14ac:dyDescent="0.25">
      <c r="A5" s="171"/>
      <c r="B5" s="70"/>
    </row>
    <row r="6" spans="1:2" x14ac:dyDescent="0.25">
      <c r="A6" s="171"/>
      <c r="B6" s="70"/>
    </row>
    <row r="7" spans="1:2" ht="15.75" thickBot="1" x14ac:dyDescent="0.3">
      <c r="A7" s="172"/>
      <c r="B7" s="70"/>
    </row>
    <row r="8" spans="1:2" x14ac:dyDescent="0.25">
      <c r="A8" s="173">
        <v>457</v>
      </c>
      <c r="B8" s="70"/>
    </row>
    <row r="9" spans="1:2" x14ac:dyDescent="0.25">
      <c r="A9" s="174"/>
      <c r="B9" s="70"/>
    </row>
    <row r="10" spans="1:2" x14ac:dyDescent="0.25">
      <c r="A10" s="174"/>
      <c r="B10" s="70"/>
    </row>
    <row r="11" spans="1:2" ht="15.75" thickBot="1" x14ac:dyDescent="0.3">
      <c r="A11" s="175"/>
      <c r="B11" s="70"/>
    </row>
    <row r="12" spans="1:2" x14ac:dyDescent="0.25">
      <c r="A12" s="173">
        <v>463</v>
      </c>
      <c r="B12" s="70"/>
    </row>
    <row r="13" spans="1:2" x14ac:dyDescent="0.25">
      <c r="A13" s="174"/>
      <c r="B13" s="70"/>
    </row>
    <row r="14" spans="1:2" x14ac:dyDescent="0.25">
      <c r="A14" s="174"/>
      <c r="B14" s="70"/>
    </row>
    <row r="15" spans="1:2" x14ac:dyDescent="0.25">
      <c r="A15" s="174"/>
      <c r="B15" s="70"/>
    </row>
    <row r="16" spans="1:2" ht="15.75" thickBot="1" x14ac:dyDescent="0.3">
      <c r="A16" s="175"/>
      <c r="B16" s="70"/>
    </row>
    <row r="17" spans="1:2" x14ac:dyDescent="0.25">
      <c r="A17" s="173">
        <v>751</v>
      </c>
      <c r="B17" s="70"/>
    </row>
    <row r="18" spans="1:2" x14ac:dyDescent="0.25">
      <c r="A18" s="174"/>
      <c r="B18" s="70"/>
    </row>
    <row r="19" spans="1:2" x14ac:dyDescent="0.25">
      <c r="A19" s="174"/>
      <c r="B19" s="70"/>
    </row>
    <row r="20" spans="1:2" x14ac:dyDescent="0.25">
      <c r="A20" s="174"/>
      <c r="B20" s="70"/>
    </row>
    <row r="21" spans="1:2" x14ac:dyDescent="0.25">
      <c r="A21" s="174"/>
      <c r="B21" s="70"/>
    </row>
    <row r="22" spans="1:2" x14ac:dyDescent="0.25">
      <c r="A22" s="174"/>
      <c r="B22" s="70"/>
    </row>
    <row r="23" spans="1:2" x14ac:dyDescent="0.25">
      <c r="A23" s="174"/>
      <c r="B23" s="70"/>
    </row>
    <row r="24" spans="1:2" ht="15.75" thickBot="1" x14ac:dyDescent="0.3">
      <c r="A24" s="175"/>
      <c r="B24" s="70"/>
    </row>
    <row r="25" spans="1:2" x14ac:dyDescent="0.25">
      <c r="A25" s="173">
        <v>608</v>
      </c>
      <c r="B25" s="70"/>
    </row>
    <row r="26" spans="1:2" x14ac:dyDescent="0.25">
      <c r="A26" s="174"/>
      <c r="B26" s="70"/>
    </row>
    <row r="27" spans="1:2" x14ac:dyDescent="0.25">
      <c r="A27" s="174"/>
      <c r="B27" s="70"/>
    </row>
    <row r="28" spans="1:2" x14ac:dyDescent="0.25">
      <c r="A28" s="174"/>
      <c r="B28" s="70"/>
    </row>
    <row r="29" spans="1:2" x14ac:dyDescent="0.25">
      <c r="A29" s="174"/>
      <c r="B29" s="70"/>
    </row>
    <row r="30" spans="1:2" x14ac:dyDescent="0.25">
      <c r="A30" s="174"/>
      <c r="B30" s="70"/>
    </row>
    <row r="31" spans="1:2" ht="15.75" thickBot="1" x14ac:dyDescent="0.3">
      <c r="A31" s="175"/>
      <c r="B31" s="70"/>
    </row>
    <row r="32" spans="1:2" x14ac:dyDescent="0.25">
      <c r="A32" s="173">
        <v>460</v>
      </c>
      <c r="B32" s="70"/>
    </row>
    <row r="33" spans="1:2" x14ac:dyDescent="0.25">
      <c r="A33" s="174"/>
      <c r="B33" s="70"/>
    </row>
    <row r="34" spans="1:2" x14ac:dyDescent="0.25">
      <c r="A34" s="174"/>
      <c r="B34" s="70"/>
    </row>
    <row r="35" spans="1:2" x14ac:dyDescent="0.25">
      <c r="A35" s="174"/>
      <c r="B35" s="70"/>
    </row>
    <row r="36" spans="1:2" x14ac:dyDescent="0.25">
      <c r="A36" s="174"/>
      <c r="B36" s="70"/>
    </row>
    <row r="37" spans="1:2" x14ac:dyDescent="0.25">
      <c r="A37" s="174"/>
      <c r="B37" s="70"/>
    </row>
    <row r="38" spans="1:2" ht="15.75" thickBot="1" x14ac:dyDescent="0.3">
      <c r="A38" s="175"/>
      <c r="B38" s="70"/>
    </row>
    <row r="39" spans="1:2" x14ac:dyDescent="0.25">
      <c r="A39" s="173">
        <v>614</v>
      </c>
      <c r="B39" s="70"/>
    </row>
    <row r="40" spans="1:2" x14ac:dyDescent="0.25">
      <c r="A40" s="174"/>
      <c r="B40" s="70"/>
    </row>
    <row r="41" spans="1:2" x14ac:dyDescent="0.25">
      <c r="A41" s="174"/>
      <c r="B41" s="70"/>
    </row>
    <row r="42" spans="1:2" x14ac:dyDescent="0.25">
      <c r="A42" s="174"/>
      <c r="B42" s="70"/>
    </row>
    <row r="43" spans="1:2" x14ac:dyDescent="0.25">
      <c r="A43" s="174"/>
      <c r="B43" s="70"/>
    </row>
    <row r="44" spans="1:2" ht="15.75" thickBot="1" x14ac:dyDescent="0.3">
      <c r="A44" s="175"/>
      <c r="B44" s="70"/>
    </row>
    <row r="45" spans="1:2" x14ac:dyDescent="0.25">
      <c r="A45" s="173">
        <v>767</v>
      </c>
      <c r="B45" s="70"/>
    </row>
    <row r="46" spans="1:2" x14ac:dyDescent="0.25">
      <c r="A46" s="174"/>
      <c r="B46" s="70"/>
    </row>
    <row r="47" spans="1:2" x14ac:dyDescent="0.25">
      <c r="A47" s="174"/>
      <c r="B47" s="70"/>
    </row>
    <row r="48" spans="1:2" x14ac:dyDescent="0.25">
      <c r="A48" s="174"/>
      <c r="B48" s="70"/>
    </row>
    <row r="49" spans="1:2" x14ac:dyDescent="0.25">
      <c r="A49" s="174"/>
      <c r="B49" s="70"/>
    </row>
    <row r="50" spans="1:2" x14ac:dyDescent="0.25">
      <c r="A50" s="174"/>
      <c r="B50" s="70"/>
    </row>
    <row r="51" spans="1:2" x14ac:dyDescent="0.25">
      <c r="A51" s="174"/>
      <c r="B51" s="70"/>
    </row>
    <row r="52" spans="1:2" x14ac:dyDescent="0.25">
      <c r="A52" s="174"/>
      <c r="B52" s="70"/>
    </row>
    <row r="53" spans="1:2" x14ac:dyDescent="0.25">
      <c r="A53" s="174"/>
      <c r="B53" s="70"/>
    </row>
    <row r="54" spans="1:2" ht="15.75" thickBot="1" x14ac:dyDescent="0.3">
      <c r="A54" s="175"/>
      <c r="B54" s="70"/>
    </row>
    <row r="55" spans="1:2" x14ac:dyDescent="0.25">
      <c r="A55" s="176">
        <v>455</v>
      </c>
      <c r="B55" s="70"/>
    </row>
    <row r="56" spans="1:2" x14ac:dyDescent="0.25">
      <c r="A56" s="177"/>
      <c r="B56" s="70"/>
    </row>
    <row r="57" spans="1:2" x14ac:dyDescent="0.25">
      <c r="A57" s="177"/>
      <c r="B57" s="70"/>
    </row>
    <row r="58" spans="1:2" ht="15.75" thickBot="1" x14ac:dyDescent="0.3">
      <c r="A58" s="178"/>
      <c r="B58" s="70"/>
    </row>
    <row r="59" spans="1:2" x14ac:dyDescent="0.25">
      <c r="A59" s="173">
        <v>465</v>
      </c>
      <c r="B59" s="70"/>
    </row>
    <row r="60" spans="1:2" ht="15.75" thickBot="1" x14ac:dyDescent="0.3">
      <c r="A60" s="175"/>
      <c r="B60" s="70"/>
    </row>
    <row r="61" spans="1:2" x14ac:dyDescent="0.25">
      <c r="A61" s="173">
        <v>639</v>
      </c>
      <c r="B61" s="70"/>
    </row>
    <row r="62" spans="1:2" x14ac:dyDescent="0.25">
      <c r="A62" s="174"/>
      <c r="B62" s="70"/>
    </row>
    <row r="63" spans="1:2" x14ac:dyDescent="0.25">
      <c r="A63" s="174"/>
      <c r="B63" s="70"/>
    </row>
    <row r="64" spans="1:2" x14ac:dyDescent="0.25">
      <c r="A64" s="174"/>
      <c r="B64" s="70"/>
    </row>
    <row r="65" spans="1:13" x14ac:dyDescent="0.25">
      <c r="A65" s="174"/>
      <c r="B65" s="70"/>
    </row>
    <row r="66" spans="1:13" ht="15.75" thickBot="1" x14ac:dyDescent="0.3">
      <c r="A66" s="175"/>
      <c r="B66" s="70"/>
    </row>
    <row r="67" spans="1:13" x14ac:dyDescent="0.25">
      <c r="A67" s="173">
        <v>647</v>
      </c>
      <c r="B67" s="70"/>
    </row>
    <row r="68" spans="1:13" x14ac:dyDescent="0.25">
      <c r="A68" s="174"/>
      <c r="B68" s="70"/>
    </row>
    <row r="69" spans="1:13" x14ac:dyDescent="0.25">
      <c r="A69" s="174"/>
      <c r="B69" s="70"/>
    </row>
    <row r="70" spans="1:13" x14ac:dyDescent="0.25">
      <c r="A70" s="174"/>
      <c r="B70" s="70"/>
    </row>
    <row r="71" spans="1:13" x14ac:dyDescent="0.25">
      <c r="A71" s="174"/>
      <c r="B71" s="70"/>
    </row>
    <row r="72" spans="1:13" x14ac:dyDescent="0.25">
      <c r="A72" s="174"/>
      <c r="B72" s="70"/>
    </row>
    <row r="73" spans="1:13" ht="15.75" thickBot="1" x14ac:dyDescent="0.3">
      <c r="A73" s="175"/>
      <c r="B73" s="70"/>
      <c r="M73" s="2">
        <v>1</v>
      </c>
    </row>
    <row r="74" spans="1:13" x14ac:dyDescent="0.25">
      <c r="A74" s="173">
        <v>537</v>
      </c>
      <c r="B74" s="70"/>
      <c r="M74" s="2">
        <v>2</v>
      </c>
    </row>
    <row r="75" spans="1:13" x14ac:dyDescent="0.25">
      <c r="A75" s="174"/>
      <c r="B75" s="70"/>
      <c r="M75" s="2">
        <v>3</v>
      </c>
    </row>
    <row r="76" spans="1:13" x14ac:dyDescent="0.25">
      <c r="A76" s="174"/>
      <c r="B76" s="70"/>
      <c r="M76" s="2">
        <v>4</v>
      </c>
    </row>
    <row r="77" spans="1:13" ht="15.75" thickBot="1" x14ac:dyDescent="0.3">
      <c r="A77" s="175"/>
      <c r="B77" s="70"/>
      <c r="M77" s="2">
        <v>5</v>
      </c>
    </row>
    <row r="78" spans="1:13" x14ac:dyDescent="0.25">
      <c r="A78" s="173">
        <v>589</v>
      </c>
      <c r="B78" s="70"/>
      <c r="M78" s="2">
        <v>6</v>
      </c>
    </row>
    <row r="79" spans="1:13" x14ac:dyDescent="0.25">
      <c r="A79" s="174"/>
      <c r="B79" s="70"/>
      <c r="M79" s="2">
        <v>7</v>
      </c>
    </row>
    <row r="80" spans="1:13" x14ac:dyDescent="0.25">
      <c r="A80" s="174"/>
      <c r="B80" s="70"/>
      <c r="M80" s="2">
        <v>8</v>
      </c>
    </row>
    <row r="81" spans="1:13" x14ac:dyDescent="0.25">
      <c r="A81" s="174"/>
      <c r="B81" s="70"/>
      <c r="M81" s="2">
        <v>9</v>
      </c>
    </row>
    <row r="82" spans="1:13" ht="15.75" thickBot="1" x14ac:dyDescent="0.3">
      <c r="A82" s="175"/>
      <c r="B82" s="70"/>
      <c r="M82" s="2">
        <v>10</v>
      </c>
    </row>
    <row r="83" spans="1:13" x14ac:dyDescent="0.25">
      <c r="A83" s="173">
        <v>491</v>
      </c>
      <c r="B83" s="70"/>
      <c r="M83" s="2">
        <v>11</v>
      </c>
    </row>
    <row r="84" spans="1:13" x14ac:dyDescent="0.25">
      <c r="A84" s="174"/>
      <c r="B84" s="70"/>
      <c r="M84" s="2">
        <v>12</v>
      </c>
    </row>
    <row r="85" spans="1:13" x14ac:dyDescent="0.25">
      <c r="A85" s="174"/>
      <c r="B85" s="70"/>
      <c r="M85" s="2">
        <v>13</v>
      </c>
    </row>
    <row r="86" spans="1:13" ht="15.75" thickBot="1" x14ac:dyDescent="0.3">
      <c r="A86" s="175"/>
      <c r="B86" s="70"/>
      <c r="M86" s="2">
        <v>14</v>
      </c>
    </row>
    <row r="87" spans="1:13" x14ac:dyDescent="0.25">
      <c r="A87" s="173">
        <v>468</v>
      </c>
      <c r="B87" s="70"/>
      <c r="M87" s="2">
        <v>15</v>
      </c>
    </row>
    <row r="88" spans="1:13" x14ac:dyDescent="0.25">
      <c r="A88" s="174"/>
      <c r="B88" s="70"/>
      <c r="M88" s="2">
        <v>16</v>
      </c>
    </row>
    <row r="89" spans="1:13" x14ac:dyDescent="0.25">
      <c r="A89" s="174"/>
      <c r="B89" s="70"/>
      <c r="M89" s="2">
        <v>17</v>
      </c>
    </row>
    <row r="90" spans="1:13" ht="15.75" thickBot="1" x14ac:dyDescent="0.3">
      <c r="A90" s="175"/>
      <c r="B90" s="70"/>
      <c r="M90" s="2">
        <v>18</v>
      </c>
    </row>
    <row r="91" spans="1:13" x14ac:dyDescent="0.25">
      <c r="A91" s="179">
        <v>1453</v>
      </c>
      <c r="B91" s="70"/>
      <c r="M91" s="2">
        <v>19</v>
      </c>
    </row>
    <row r="92" spans="1:13" ht="15.75" thickBot="1" x14ac:dyDescent="0.3">
      <c r="A92" s="180"/>
      <c r="B92" s="70"/>
      <c r="M92" s="2">
        <v>20</v>
      </c>
    </row>
    <row r="93" spans="1:13" x14ac:dyDescent="0.25">
      <c r="A93" s="173">
        <v>550</v>
      </c>
      <c r="B93" s="70"/>
      <c r="M93" s="2">
        <v>21</v>
      </c>
    </row>
    <row r="94" spans="1:13" ht="15.75" thickBot="1" x14ac:dyDescent="0.3">
      <c r="A94" s="175"/>
      <c r="B94" s="70"/>
      <c r="M94" s="2">
        <v>22</v>
      </c>
    </row>
    <row r="95" spans="1:13" ht="16.5" thickBot="1" x14ac:dyDescent="0.3">
      <c r="A95" s="71">
        <v>543</v>
      </c>
      <c r="B95" s="70"/>
      <c r="M95" s="2">
        <v>23</v>
      </c>
    </row>
    <row r="96" spans="1:13" x14ac:dyDescent="0.25">
      <c r="A96" s="173">
        <v>452</v>
      </c>
      <c r="B96" s="70"/>
      <c r="M96" s="2">
        <v>24</v>
      </c>
    </row>
    <row r="97" spans="1:13" x14ac:dyDescent="0.25">
      <c r="A97" s="174"/>
      <c r="B97" s="70"/>
      <c r="M97" s="2">
        <v>25</v>
      </c>
    </row>
    <row r="98" spans="1:13" ht="15.75" thickBot="1" x14ac:dyDescent="0.3">
      <c r="A98" s="175"/>
      <c r="B98" s="70"/>
      <c r="M98" s="2">
        <v>26</v>
      </c>
    </row>
    <row r="99" spans="1:13" ht="15.75" thickBot="1" x14ac:dyDescent="0.3">
      <c r="A99" s="173">
        <v>522</v>
      </c>
      <c r="B99" s="70"/>
      <c r="M99" s="2">
        <v>27</v>
      </c>
    </row>
    <row r="100" spans="1:13" ht="17.25" thickBot="1" x14ac:dyDescent="0.3">
      <c r="A100" s="175"/>
      <c r="B100" s="70"/>
      <c r="D100" s="72">
        <v>489</v>
      </c>
      <c r="M100" s="2">
        <v>28</v>
      </c>
    </row>
    <row r="101" spans="1:13" ht="17.25" thickBot="1" x14ac:dyDescent="0.3">
      <c r="A101" s="173">
        <v>578</v>
      </c>
      <c r="B101" s="70"/>
      <c r="D101" s="73">
        <v>460</v>
      </c>
      <c r="M101" s="2">
        <v>29</v>
      </c>
    </row>
    <row r="102" spans="1:13" ht="17.25" thickBot="1" x14ac:dyDescent="0.3">
      <c r="A102" s="175"/>
      <c r="B102" s="70"/>
      <c r="D102" s="73">
        <v>514</v>
      </c>
      <c r="M102" s="2">
        <v>30</v>
      </c>
    </row>
    <row r="103" spans="1:13" x14ac:dyDescent="0.25">
      <c r="A103" s="173">
        <v>509</v>
      </c>
      <c r="B103" s="70"/>
      <c r="M103" s="2">
        <v>31</v>
      </c>
    </row>
    <row r="104" spans="1:13" ht="15.75" thickBot="1" x14ac:dyDescent="0.3">
      <c r="A104" s="175"/>
      <c r="B104" s="70"/>
      <c r="M104" s="2">
        <v>32</v>
      </c>
    </row>
    <row r="105" spans="1:13" ht="16.5" thickBot="1" x14ac:dyDescent="0.3">
      <c r="A105" s="74">
        <v>533</v>
      </c>
      <c r="B105" s="70"/>
      <c r="M105" s="2">
        <v>33</v>
      </c>
    </row>
    <row r="106" spans="1:13" x14ac:dyDescent="0.25">
      <c r="A106" s="2">
        <f>SUM(A1:A105)</f>
        <v>14160</v>
      </c>
      <c r="D106" s="2">
        <f>SUM(D100:D105)</f>
        <v>1463</v>
      </c>
      <c r="E106" s="2">
        <f>A106+D106</f>
        <v>15623</v>
      </c>
      <c r="M106" s="2">
        <v>34</v>
      </c>
    </row>
    <row r="107" spans="1:13" x14ac:dyDescent="0.25">
      <c r="M107" s="2">
        <v>35</v>
      </c>
    </row>
    <row r="108" spans="1:13" x14ac:dyDescent="0.25">
      <c r="M108" s="2">
        <v>36</v>
      </c>
    </row>
    <row r="109" spans="1:13" x14ac:dyDescent="0.25">
      <c r="M109" s="2">
        <v>37</v>
      </c>
    </row>
    <row r="110" spans="1:13" x14ac:dyDescent="0.25">
      <c r="M110" s="2">
        <v>38</v>
      </c>
    </row>
    <row r="111" spans="1:13" x14ac:dyDescent="0.25">
      <c r="M111" s="2">
        <v>39</v>
      </c>
    </row>
    <row r="112" spans="1:13" x14ac:dyDescent="0.25">
      <c r="M112" s="2">
        <v>40</v>
      </c>
    </row>
    <row r="113" spans="13:13" x14ac:dyDescent="0.25">
      <c r="M113" s="2">
        <v>41</v>
      </c>
    </row>
    <row r="114" spans="13:13" x14ac:dyDescent="0.25">
      <c r="M114" s="2">
        <v>42</v>
      </c>
    </row>
    <row r="115" spans="13:13" x14ac:dyDescent="0.25">
      <c r="M115" s="2">
        <v>43</v>
      </c>
    </row>
    <row r="116" spans="13:13" x14ac:dyDescent="0.25">
      <c r="M116" s="2">
        <v>44</v>
      </c>
    </row>
    <row r="117" spans="13:13" x14ac:dyDescent="0.25">
      <c r="M117" s="2">
        <v>45</v>
      </c>
    </row>
    <row r="118" spans="13:13" x14ac:dyDescent="0.25">
      <c r="M118" s="2">
        <v>46</v>
      </c>
    </row>
    <row r="119" spans="13:13" x14ac:dyDescent="0.25">
      <c r="M119" s="2">
        <v>47</v>
      </c>
    </row>
    <row r="120" spans="13:13" x14ac:dyDescent="0.25">
      <c r="M120" s="2">
        <v>48</v>
      </c>
    </row>
  </sheetData>
  <mergeCells count="22">
    <mergeCell ref="A87:A90"/>
    <mergeCell ref="A96:A98"/>
    <mergeCell ref="A99:A100"/>
    <mergeCell ref="A101:A102"/>
    <mergeCell ref="A103:A104"/>
    <mergeCell ref="A91:A92"/>
    <mergeCell ref="A93:A94"/>
    <mergeCell ref="A61:A66"/>
    <mergeCell ref="A67:A73"/>
    <mergeCell ref="A74:A77"/>
    <mergeCell ref="A78:A82"/>
    <mergeCell ref="A83:A86"/>
    <mergeCell ref="A32:A38"/>
    <mergeCell ref="A39:A44"/>
    <mergeCell ref="A45:A54"/>
    <mergeCell ref="A55:A58"/>
    <mergeCell ref="A59:A60"/>
    <mergeCell ref="A1:A7"/>
    <mergeCell ref="A8:A11"/>
    <mergeCell ref="A12:A16"/>
    <mergeCell ref="A17:A24"/>
    <mergeCell ref="A25:A3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PA TDP 2026</vt:lpstr>
      <vt:lpstr>Sheet1</vt:lpstr>
      <vt:lpstr>Sheet4</vt:lpstr>
      <vt:lpstr>Sheet3</vt:lpstr>
      <vt:lpstr>'PA TDP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Asus</cp:lastModifiedBy>
  <cp:lastPrinted>2026-06-10T07:05:11Z</cp:lastPrinted>
  <dcterms:created xsi:type="dcterms:W3CDTF">2025-10-27T08:09:04Z</dcterms:created>
  <dcterms:modified xsi:type="dcterms:W3CDTF">2026-06-22T08:41:09Z</dcterms:modified>
</cp:coreProperties>
</file>